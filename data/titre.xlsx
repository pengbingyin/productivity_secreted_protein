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engb\PycharmProjects\productivity_secreted_protein\data\"/>
    </mc:Choice>
  </mc:AlternateContent>
  <xr:revisionPtr revIDLastSave="0" documentId="13_ncr:1_{820589F7-7C2F-4178-9C1C-695396C776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titre" sheetId="3" r:id="rId3"/>
  </sheets>
  <definedNames>
    <definedName name="_xlnm._FilterDatabase" localSheetId="0" hidden="1">Sheet1!$A$1:$M$65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7" i="1" l="1"/>
  <c r="C57" i="1"/>
  <c r="D57" i="1" s="1"/>
  <c r="C41" i="1"/>
  <c r="D41" i="1" s="1"/>
  <c r="C40" i="1"/>
  <c r="D40" i="1" s="1"/>
  <c r="J39" i="1"/>
  <c r="K39" i="1" s="1"/>
  <c r="C39" i="1"/>
  <c r="D39" i="1" s="1"/>
  <c r="J38" i="1"/>
  <c r="K38" i="1" s="1"/>
  <c r="C38" i="1"/>
  <c r="D38" i="1" s="1"/>
  <c r="J37" i="1"/>
  <c r="K37" i="1" s="1"/>
  <c r="C37" i="1"/>
  <c r="D37" i="1" s="1"/>
  <c r="J35" i="1"/>
  <c r="K35" i="1" s="1"/>
  <c r="K36" i="1"/>
  <c r="C36" i="1"/>
  <c r="D36" i="1" s="1"/>
  <c r="C35" i="1"/>
  <c r="D35" i="1" s="1"/>
  <c r="J65" i="1"/>
  <c r="K65" i="1" s="1"/>
  <c r="C65" i="1"/>
  <c r="D65" i="1" s="1"/>
  <c r="C46" i="1"/>
  <c r="D46" i="1" s="1"/>
  <c r="K46" i="1"/>
  <c r="C45" i="1"/>
  <c r="D45" i="1" s="1"/>
  <c r="K45" i="1"/>
  <c r="K44" i="1"/>
  <c r="C44" i="1"/>
  <c r="D44" i="1" s="1"/>
  <c r="K43" i="1"/>
  <c r="C43" i="1"/>
  <c r="D43" i="1" s="1"/>
  <c r="K42" i="1"/>
  <c r="C42" i="1"/>
  <c r="D42" i="1" s="1"/>
  <c r="K64" i="1"/>
  <c r="C64" i="1"/>
  <c r="D64" i="1" s="1"/>
  <c r="K63" i="1"/>
  <c r="C63" i="1"/>
  <c r="D63" i="1" s="1"/>
  <c r="C79" i="1"/>
  <c r="D79" i="1" s="1"/>
  <c r="J62" i="1"/>
  <c r="K62" i="1" s="1"/>
  <c r="C62" i="1"/>
  <c r="D62" i="1" s="1"/>
  <c r="J61" i="1"/>
  <c r="K61" i="1" s="1"/>
  <c r="C61" i="1"/>
  <c r="D61" i="1" s="1"/>
  <c r="J60" i="1"/>
  <c r="K60" i="1" s="1"/>
  <c r="C60" i="1"/>
  <c r="D60" i="1" s="1"/>
  <c r="C85" i="1"/>
  <c r="D85" i="1" s="1"/>
  <c r="C86" i="1"/>
  <c r="D86" i="1" s="1"/>
  <c r="J59" i="1"/>
  <c r="K59" i="1" s="1"/>
  <c r="C59" i="1"/>
  <c r="D59" i="1" s="1"/>
  <c r="K58" i="1"/>
  <c r="C58" i="1"/>
  <c r="D58" i="1" s="1"/>
  <c r="C34" i="1"/>
  <c r="D34" i="1" s="1"/>
  <c r="K34" i="1"/>
  <c r="C49" i="1"/>
  <c r="D49" i="1" s="1"/>
  <c r="K49" i="1"/>
  <c r="J48" i="1"/>
  <c r="K48" i="1" s="1"/>
  <c r="C48" i="1"/>
  <c r="D48" i="1" s="1"/>
  <c r="C47" i="1"/>
  <c r="D47" i="1" s="1"/>
  <c r="C56" i="1"/>
  <c r="D56" i="1" s="1"/>
  <c r="K56" i="1"/>
  <c r="C55" i="1"/>
  <c r="D55" i="1" s="1"/>
  <c r="J55" i="1"/>
  <c r="C54" i="1"/>
  <c r="D54" i="1" s="1"/>
  <c r="C53" i="1"/>
  <c r="D53" i="1" s="1"/>
  <c r="K52" i="1"/>
  <c r="C50" i="1"/>
  <c r="D50" i="1" s="1"/>
  <c r="C52" i="1"/>
  <c r="D52" i="1" s="1"/>
  <c r="K51" i="1"/>
  <c r="C51" i="1"/>
  <c r="D51" i="1" s="1"/>
  <c r="J33" i="1"/>
  <c r="K33" i="1" s="1"/>
  <c r="C33" i="1"/>
  <c r="D33" i="1" s="1"/>
  <c r="K32" i="1"/>
  <c r="C32" i="1"/>
  <c r="D32" i="1" s="1"/>
  <c r="J31" i="1"/>
  <c r="K31" i="1" s="1"/>
  <c r="C31" i="1"/>
  <c r="D31" i="1" s="1"/>
  <c r="J30" i="1"/>
  <c r="K30" i="1" s="1"/>
  <c r="C30" i="1"/>
  <c r="D30" i="1" s="1"/>
  <c r="C2" i="1"/>
  <c r="D2" i="1" s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19" i="1"/>
  <c r="D19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K23" i="1"/>
  <c r="J22" i="1"/>
  <c r="K22" i="1" s="1"/>
  <c r="J20" i="1"/>
  <c r="K20" i="1" s="1"/>
  <c r="K19" i="1"/>
  <c r="J18" i="1"/>
  <c r="K18" i="1" s="1"/>
  <c r="J17" i="1"/>
  <c r="K17" i="1" s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K9" i="1"/>
  <c r="K50" i="1"/>
  <c r="K8" i="1"/>
  <c r="J7" i="1"/>
  <c r="K7" i="1" s="1"/>
  <c r="J6" i="1"/>
  <c r="K6" i="1" s="1"/>
  <c r="J5" i="1"/>
  <c r="K5" i="1" s="1"/>
  <c r="J4" i="1"/>
  <c r="K4" i="1" s="1"/>
  <c r="K3" i="1"/>
  <c r="J2" i="1"/>
  <c r="K2" i="1" s="1"/>
  <c r="K47" i="1"/>
</calcChain>
</file>

<file path=xl/sharedStrings.xml><?xml version="1.0" encoding="utf-8"?>
<sst xmlns="http://schemas.openxmlformats.org/spreadsheetml/2006/main" count="717" uniqueCount="168">
  <si>
    <t>Candida boidinii</t>
  </si>
  <si>
    <t>Chassis</t>
  </si>
  <si>
    <t>Product</t>
  </si>
  <si>
    <t>Media</t>
  </si>
  <si>
    <t>Reference</t>
  </si>
  <si>
    <t>https://www.sciencedirect.com/science/article/pii/0167478196000759?via%3Dihub</t>
  </si>
  <si>
    <t>Glucoamylase</t>
  </si>
  <si>
    <t>Protein to biomass ratio</t>
  </si>
  <si>
    <t>Titre g/l</t>
  </si>
  <si>
    <t>Biomass g/l</t>
  </si>
  <si>
    <t>Minimal</t>
  </si>
  <si>
    <t>Komagataella phaffi</t>
  </si>
  <si>
    <t>Nanobody</t>
  </si>
  <si>
    <t>Year</t>
  </si>
  <si>
    <t>Unit</t>
  </si>
  <si>
    <t>1903.2 U/mL</t>
  </si>
  <si>
    <t>Glucose oxidase</t>
  </si>
  <si>
    <t>https://www.sciencedirect.com/science/article/pii/S187167842500069X</t>
  </si>
  <si>
    <t>Engineering strategy</t>
  </si>
  <si>
    <t>Polysaccharide monooxygenase</t>
  </si>
  <si>
    <t>https://link.springer.com/article/10.1186/1754-6834-5-79#Sec2</t>
  </si>
  <si>
    <t>Rich-&gt;minimal</t>
  </si>
  <si>
    <t>https://link.springer.com/article/10.1007/s00449-001-0274-5</t>
  </si>
  <si>
    <t xml:space="preserve">N. patriciarum cellulase A and
C. antarctica lipase B </t>
  </si>
  <si>
    <t>Gelatin</t>
  </si>
  <si>
    <t>https://onlinelibrary.wiley.com/doi/epdf/10.1002/%28SICI%291097-0061%28199908%2915%3A11%3C1087%3A%3AAID-YEA436%3E3.0.CO%3B2-F</t>
  </si>
  <si>
    <t>Yarrowia lipolytica lipase</t>
  </si>
  <si>
    <t>https://www.sciencedirect.com/science/article/pii/S014102291400194X</t>
  </si>
  <si>
    <t>Trichoderma koningii protease</t>
  </si>
  <si>
    <t>https://www.sciencedirect.com/science/article/pii/S0141022916301090?casa_token=aeiYiVqBre0AAAAA:vOTJ5EOCOOIQqZUiKhizj36SdN2qTkiDFSIYprYCIBQocxWJWCgDvcB_YDjcoTkuBL5Tgc6sI5s</t>
  </si>
  <si>
    <t>Candida rugosa lipase Lip1</t>
  </si>
  <si>
    <t>Rich</t>
  </si>
  <si>
    <t>https://www.sciencedirect.com/science/article/pii/S0141022915300570?casa_token=ciBMwjY9r14AAAAA:Sdpy_q-lu9aM0kmJLYieygcYqhv1iEih2YQvOnElTlzCHnorMREn1TyiDzmhOip0R2QWCptfgN0</t>
  </si>
  <si>
    <t>Hen egg ovomucoid</t>
  </si>
  <si>
    <t>https://www.sciencedirect.com/science/article/pii/S0141813025063688?casa_token=-gZefg0AhKgAAAAA:LuARddRC-4ZNRpBJ2enrmvXsQm7DV-hfu6QWY7IhbH0WXM_tzUUdbMEnYZbSM6EsjAODHFtNfio</t>
  </si>
  <si>
    <t>Saccharomyces cerevisiae</t>
  </si>
  <si>
    <t>Affibody</t>
  </si>
  <si>
    <t>https://link.springer.com/article/10.1186/s12934-022-01761-0#Sec2</t>
  </si>
  <si>
    <t>https://analyticalsciencejournals.onlinelibrary.wiley.com/doi/full/10.1002/bit.28510</t>
  </si>
  <si>
    <t>Human serum albumin</t>
  </si>
  <si>
    <t>https://analyticalsciencejournals.onlinelibrary.wiley.com/doi/epdf/10.1002/bit.20507</t>
  </si>
  <si>
    <t>Aspergillus niger phytase</t>
  </si>
  <si>
    <t>Rich-&gt;Minimal</t>
  </si>
  <si>
    <t>https://academic.oup.com/jambio/article/98/2/418/6722483?login=true</t>
  </si>
  <si>
    <t>Citrobacter amalonaticus phytase</t>
  </si>
  <si>
    <t>https://pmc.ncbi.nlm.nih.gov/articles/PMC4584009/#Sec2</t>
  </si>
  <si>
    <t>12 copy</t>
  </si>
  <si>
    <t>Peniophora lycii phytase</t>
  </si>
  <si>
    <t>https://link.springer.com/article/10.1007/s00253-006-0384-8</t>
  </si>
  <si>
    <t>Escherichia coli AppA Phytase</t>
  </si>
  <si>
    <t>Moniliophthora roreri laccase</t>
  </si>
  <si>
    <t>https://link.springer.com/article/10.1186/s13568-017-0368-3#Sec12</t>
  </si>
  <si>
    <t>https://journals.plos.org/plosone/article?id=10.1371/journal.pone.0119833#pone-0119833-g001</t>
  </si>
  <si>
    <t>Human chaperone BiP</t>
  </si>
  <si>
    <t>https://link.springer.com/article/10.1186/s12934-025-02679-z</t>
  </si>
  <si>
    <t>Camelus bactrianus prochymosin B</t>
  </si>
  <si>
    <t>https://www.cell.com/heliyon/fulltext/S2405-8440(21)01240-8</t>
  </si>
  <si>
    <t>Ideonella sakaiensis PETase</t>
  </si>
  <si>
    <t>https://www.nature.com/articles/s42003-023-04413-0#MOESM1</t>
  </si>
  <si>
    <t>8 copy, trafficking pathway engineering</t>
  </si>
  <si>
    <t>https://analyticalsciencejournals.onlinelibrary.wiley.com/doi/10.1002/bit.28600</t>
  </si>
  <si>
    <t>Moderate-ThermophilicPET Hydrolase</t>
  </si>
  <si>
    <t>chrome-extension://efaidnbmnnnibpcajpcglclefindmkaj/https://pubs.acs.org/doi/pdf/10.1021/acssuschemeng.5c01602</t>
  </si>
  <si>
    <t>https://microbialcellfactories.biomedcentral.com/articles/10.1186/s12934-023-02132-z#Sec2234</t>
  </si>
  <si>
    <t>scFv</t>
  </si>
  <si>
    <t>https://www.elsevier.es/es-revista-brazilian-journal-microbiology-490-articulo-cultivation-pichia-pastoris-carrying-scfv-S1517838216301769</t>
  </si>
  <si>
    <t>Single-chain antibody</t>
  </si>
  <si>
    <t>https://analyticalsciencejournals.onlinelibrary.wiley.com/doi/epdf/10.1002/bit.1125</t>
  </si>
  <si>
    <t>anti-HER2 single-chain antibody</t>
  </si>
  <si>
    <t>https://link.springer.com/article/10.1007/s10529-015-1804-6#Sec9</t>
  </si>
  <si>
    <t>https://www.researchgate.net/publication/227199461_High_level_secretion_of_single-chain_antibody_in_Pichia_expression_system</t>
  </si>
  <si>
    <t>Recombinant monoclonal antibody</t>
  </si>
  <si>
    <t>https://www.sciencedirect.com/science/article/pii/S0141813025058520</t>
  </si>
  <si>
    <t>Biosimilar</t>
  </si>
  <si>
    <t>https://aiche.onlinelibrary.wiley.com/doi/10.1002/btpr.695</t>
  </si>
  <si>
    <t>https://www.sciencedirect.com/science/article/pii/S0168165611003208?via%3Dihub</t>
  </si>
  <si>
    <t>15 copes</t>
  </si>
  <si>
    <t>https://www.sciencedirect.com/science/article/pii/S1046592824000135</t>
  </si>
  <si>
    <t>https://pubs.acs.org/doi/10.1021/acs.jafc.5c03402</t>
  </si>
  <si>
    <t>Bacterial β-glucanase</t>
  </si>
  <si>
    <t>Fungal α-amylase</t>
  </si>
  <si>
    <t>Thermus thermophilus laccase</t>
  </si>
  <si>
    <t>Fragment antigen-binding protein</t>
  </si>
  <si>
    <t>https://www.sciencedirect.com/science/article/pii/S0022175922001703#f0030</t>
  </si>
  <si>
    <t>chrome-extension://efaidnbmnnnibpcajpcglclefindmkaj/https://pdf.sciencedirectassets.com/272538/1-s2.0-S1046592818X00035/1-s2.0-S1046592817307131/main.pdf?X-Amz-Security-Token=IQoJb3JpZ2luX2VjEL7%2F%2F%2F%2F%2F%2F%2F%2F%2F%2FwEaCXVzLWVhc3QtMSJGMEQCIDqP%2FJ5TuhBuMj2eG%2FReh%2F7Zu8%2B18Xycc4OEsPDBri5mAiBf4Vy2xGf0vq0a%2Fmhp6IoQ9SziP1sU%2Bodll%2BwinNgw4yqyBQgmEAUaDDA1OTAwMzU0Njg2NSIMGDyUY4eW5qAq5H0EKo8FjxUNANVNdgLScTXMiONaITx47%2Fo57mdjMZVHZPpRSJ6nRJRmjbKWd88uKZVuKZZp3qefvaszxHki1JjpFgVnMtor7mmQfnt8FGgRETG%2B9YJ1p3LxRj4Pdr1TbN%2FK9Z%2FhUJdXNVRB1XU1mZB3zG7YMq%2FmKecHZkSNcvT2nfbqSNAbQIQI7JERecJiZc2hn9dFNxBGs19mGunKO9zieqEZW9b1q1pu2K0UocUNl1N%2Fj6MQgMeoOMuYvT6h31Sp8IrSbZ0aBzNGgecDTShxRdXpB1uNOnF6Ascr3L9VKBxBcFs1Z8VB20OO%2BzO9YiSTSes99OODX%2Bzfh3cOtZtkrF%2FoKQ%2BNWFvFq4YGWCicikZruy95U5xNgSksu0BA%2FnmuUIjwhtgd9cCuoNDB%2BT%2FPLoVSLOtl6oRabiB%2BtuMO7u8U%2B2At92k87Vz4HwjbAseQXpdfEFO0n0Q2DB0sW6OziGmA8IycYOAeCBE%2FwzZqnLf1B1xFsQafhXflym4J89sxbKsAdiaak4FGMh6U6cxHDyx4P0BXNioVu7uzowi9LAi7JDlTIab2JTDJhKz%2BLpMO6hylEpoKJLMLwRx2NmpkKJP2KlWW%2BfaZwi2WQ2GVT3zuF1Cm9IEmmT4iO3zBz%2BybVEMoME2SmpRlAbSR%2Bp5RmNBcpbC6ncRhTgugk1qjL1xrC6etwNE6N4Smgdtww30T8T9qpNlU19n0iQhI5TM%2BfDn5eAFfbPxi5SJr%2F9VGgx2eqx%2FEmuk4%2FgINk8gkpUM1vzW49g3OJvN4THP8Jt0Wq%2FWzEvK0988ZpSqMfYs0aOD1YMgIxhtH7riVvPGykiPwPnSFL%2FsQhydRrm0mcfMAU7RdLaUc5e3OZQjK9q5sqjlLnzD9%2BNnFBjqyAeyj0TSgBsJUsJb4EvhVLpuggVMEHv3jolkcyjqu7sxCWuUDqgBmIgFx77DD5TR4D0USoErPN7szYzUTgi%2FhlGVNGjsK7r%2BGHg4scYDkd2l1e0ogI%2FmvM32A%2BrQNmNpdUK%2FDhO33DIl5IyoPHwf7%2BmqdNwP6hxCdome42jazyYTZDuEZnVCh7wAG7tPfUb%2BSsc%2F7y%2BDn5UNtruofohQfdR%2B3OkYTV9jEJ%2BqatXt8eKAUfUE%3D&amp;X-Amz-Algorithm=AWS4-HMAC-SHA256&amp;X-Amz-Date=20250902T053522Z&amp;X-Amz-SignedHeaders=host&amp;X-Amz-Expires=300&amp;X-Amz-Credential=ASIAQ3PHCVTY736VF6IQ%2F20250902%2Fus-east-1%2Fs3%2Faws4_request&amp;X-Amz-Signature=b2936469f4b15a8f4bc4a87e7e474af3b9c615ee07d8a9e0fa944e05a93acd45&amp;hash=f85c9ce9e924547115d9611ec5e7ddd206bf2870c81fc0b12c2c1ecb9b9e29e4&amp;host=68042c943591013ac2b2430a89b270f6af2c76d8dfd086a07176afe7c76c2c61&amp;pii=S1046592817307131&amp;tid=spdf-d8f0f538-f5f3-4bbb-b8df-ebeb85cf2c74&amp;sid=4cda2df96ab96043730a98c2b3ab06dbc18egxrqa&amp;type=client&amp;tsoh=d3d3LnNjaWVuY2VkaXJlY3QuY29t&amp;rh=d3d3LnNjaWVuY2VkaXJlY3QuY29t&amp;ua=1b1a57515f060754005b&amp;rr=978aa4c46db14ffc&amp;cc=au&amp;kca=eyJrZXkiOiJoM081ZXg2a1U0TTlNVnJNemNxSXhXcmpNSDlHTGRZb1RUMzJtVnZjUkFqTlo0dU9adnFnTHMrMU1zQ09iOENJZkwwWStsVmdyRmlNYzU3cjNudWR2MDZXRWNtMW1ZUEdqYWcyY2twRWFIeXdMWSt5Z0UyRW1qaVZqYlZnTFl2MmhmOVRKNDlVOU5Ub1BBZWZBWjlXaXMzRkVPYXJVTGpWWWJqeHY0THdjU0JMbERTL01sWT0iLCJpdiI6IjMwMjA5YTZmMjk1NWZhNTkxNGExNTVkOTU2NjQyNDJlIn0=_1756791343571</t>
  </si>
  <si>
    <t>Snake venom</t>
  </si>
  <si>
    <t>https://link.springer.com/article/10.1007/s12257-011-0647-9</t>
  </si>
  <si>
    <t>https://www.nature.com/articles/s41467-024-54865-z</t>
  </si>
  <si>
    <t>Amylase</t>
  </si>
  <si>
    <t>https://www.pnas.org/doi/10.1073/pnas.1809921115</t>
  </si>
  <si>
    <t>https://www.sciencedirect.com/science/article/pii/S016816569900228X?casa_token=zKScHvYq8KkAAAAA:UaAM_dgi6dzspv5uKjIZl6IuoWzy-LBmK81VZ72uqvWjaAtQQ05PePKQsfN_AYpYGFgg3ZPMbfc#BIB8</t>
  </si>
  <si>
    <t>https://link.springer.com/article/10.1007/s00253-012-4596-9#Sec9</t>
  </si>
  <si>
    <t>Human insulin precursor</t>
  </si>
  <si>
    <t>Ovalbumin</t>
  </si>
  <si>
    <t>https://pubs.acs.org/doi/full/10.1021/acs.jafc.4c05789?casa_token=_DnJ2OooctAAAAAA%3ApAVcphZoUoNPvGMxzIbHY4jL9trZx9xWL8Mrv2pYn_DhiBdUB2NdMwQupGUmPt6oKdOizhbW0qheuCTr</t>
  </si>
  <si>
    <t>Antibody</t>
  </si>
  <si>
    <t>https://link.springer.com/article/10.1186/s12934-016-0488-5#Sec11</t>
  </si>
  <si>
    <t>Bovine cathepsin C</t>
  </si>
  <si>
    <t>https://link.springer.com/article/10.1007/s00253-002-1010-z</t>
  </si>
  <si>
    <t>Streptomyces mobaraensis Transglutaminase</t>
  </si>
  <si>
    <t>Rasamsonia emersonii lipase</t>
  </si>
  <si>
    <t>https://scijournals.onlinelibrary.wiley.com/doi/full/10.1002/jsfa.13390?casa_token=ktHRcWdNrnkAAAAA%3A-A8YdImSGXRlpY1y_amhQjYUid6J5fGQwBs7BI-qd6cBLaYeW4NygNlZC5Z03kDfEZVQwwxGHC6Vr6o</t>
  </si>
  <si>
    <t>Yarrowia lipolytica</t>
  </si>
  <si>
    <t>T4 lysozyme</t>
  </si>
  <si>
    <t>https://pmc.ncbi.nlm.nih.gov/articles/PMC9252082/</t>
  </si>
  <si>
    <t>Kluyveromyces lactis</t>
  </si>
  <si>
    <t>Brazzein</t>
  </si>
  <si>
    <t>https://www.sciencedirect.com/science/article/pii/S1046592813000879?casa_token=FG6pyZYLTHQAAAAA:TdIvfS23ePYo_xQ_bYjSYuxX2XDMhovT-E7pLzfRho_7VETVeGlhhXd6x9ppnrQ5nOuPrfOtLw</t>
  </si>
  <si>
    <t>Kluyveromyces marxianus</t>
  </si>
  <si>
    <t>α-Galactosidase</t>
  </si>
  <si>
    <t>Human interleukin-1β</t>
  </si>
  <si>
    <t>chrome-extension://efaidnbmnnnibpcajpcglclefindmkaj/https://pdf.sciencedirectassets.com/271116/1-s2.0-S0378111900X0409X/1-s2.0-037811199190329A/main.pdf?X-Amz-Security-Token=IQoJb3JpZ2luX2VjENP%2F%2F%2F%2F%2F%2F%2F%2F%2F%2FwEaCXVzLWVhc3QtMSJIMEYCIQD9udh55fI%2BsgKNMveWh4Cga22TvOoHnhezBJiCf3TucAIhAKNhDjcmF8zOI9kgEsoao73UPEIwlwlfiT3eYFUddu82KrMFCDsQBRoMMDU5MDAzNTQ2ODY1Igz8udUvgYte%2FMfUmIkqkAUeNJdktE3A%2FniZVp2fYspp7xgCXSPtEh0NONUjGLuldaTq6hWIfDv8b%2FmV4gQ0%2Bki8MVbAzc0neS5JwDkbu4h25WsDviSkNUpFhfOQL2Ce%2FJVUdTGpEeVqs7TqcB7Bm%2F%2B41OGBJpjunwnJWyLs2QyW27EONZPDS6uRO0pakhChUQ0oXjVlzs0YpuL5SyYqzEp8s%2FqUeKv3GhWrt%2FVxot6kHp%2Ba0Oyzw2XjhhuzanFW7NqQ9rTuhHAaD2FiSnscLWxxCk%2F1hLKvKDFUk%2B8IsmH50OFDYxgNuqm%2BqhSy%2FWOUF%2F3QKc%2BIerr%2FkXg4y%2FjIbL%2BbHVPiKHLYeII1uQYxsZuulWbkxZQ%2FrSeK%2BzI6RK7BnhPlaYvjCUCDrMvT3v9UuSte107VgsAKeyOaBeHuFMpRJX0JCe1hlu8L7pv2UWEcvxYdBO1O9L1jb6l2IX169Ooz8B9LmVyYzoHh%2BE0mJzsrFdH0KeefZKmPspLL46pDxZG9Pl%2F44o5M1eo1jJbdiEyfBjmPX4Cm7CU6bUCuC4ngsdc7r5IkKJI7UPddl0rcSvYcn%2Bk7DrLr2vlD2Qu8wTGLhRpyaHZlBCKG62YydXxDBiiZPM3PYYj0shO19YEuM4034XFOi43cMTTEAEyLpu8WIvx2191LThIt5ZuzD0OrLwY8Bhqmdbehh53c2B4E0Wkby2JkD4c%2F2Pyz3EBkHfjLyCh6HKl5rXKAJdakLPW2BilX8Zhw4kuLYE%2BT2qCaUvhtBhS3Ga2kQ55t7IlcpjWI1cXHr6mTbBASqog3n5yi%2BHdGCsH4BR1i5szLhrJBRIC3E8lEACgNYlQq1azsPlo21hgscgvt0qdtOagl8KMFNUcF72G4PbqYIrDI0vZzUTDay97FBjqwAevBWwIbr%2B8g1gIrcblhos%2BXGdCPVs%2F%2BcTha6LAsvn5rPe9d2sdBhvADFWODmCYgJ%2B1D55m4EIxtyntlq5wvTJyEUs0VVINGV7UXC0WG5PkRIQMu4ABXoIaarX%2FMtiar6Cj%2BwSO4InI%2Fbz33Smd3x1LUNjfjUVimdz0VKumsab6TInHPixiVO89pd%2BkT4fhUB%2FZZJhe0vRdjzKpgnJPGDlylh66ixLn5evFInzdAM0vH&amp;X-Amz-Algorithm=AWS4-HMAC-SHA256&amp;X-Amz-Date=20250903T030702Z&amp;X-Amz-SignedHeaders=host&amp;X-Amz-Expires=300&amp;X-Amz-Credential=ASIAQ3PHCVTY26EJXWUT%2F20250903%2Fus-east-1%2Fs3%2Faws4_request&amp;X-Amz-Signature=21b1ff381d83cb0198dacd4b2247b6f28bd4500ff840a606dbf0b79cc6eb120c&amp;hash=d8fede1396a5229932d84fb10c298cebcc7203406c13e22b59f6a4e783d1d841&amp;host=68042c943591013ac2b2430a89b270f6af2c76d8dfd086a07176afe7c76c2c61&amp;pii=037811199190329A&amp;tid=spdf-91443a55-b7f2-42f9-8041-84970cb92a1a&amp;sid=63c4493542df2549a04998d0185a155d408bgxrqa&amp;type=client&amp;tsoh=d3d3LnNjaWVuY2VkaXJlY3QuY29t&amp;rh=d3d3LnNjaWVuY2VkaXJlY3QuY29t&amp;ua=1b1a57515e555658070d&amp;rr=979208dbaf47e6eb&amp;cc=au&amp;kca=eyJrZXkiOiJ5ZDA5ZmJtSkM0Q2x0VnkzT2VOaEZuMVJxVkorekFYbUF1Z2ExbnRaRkdjZXYydmVXUEdaWmNzZEdzeWh1OEc0ZndCY2hTK1k1RDIzcWRpaWxIVmRFdkNmN2FqYXdNNWRZbDZaaDdLWkJhd3JlTS81UkkzdFRqR2NFNkxJS3kxZWJkSVcxNGpDcnlCUnFZUTh5WlZJNjNNOUovZXhwekRPa0lSZXFqb2IzWitIcmt4RCIsIml2IjoiNjQ4YWY0MWM2Y2JjMmYwMmVlYjc5ZjM5NDE4NzcyYzMifQ==_1756868859877</t>
  </si>
  <si>
    <t>Lipase CAL-A</t>
  </si>
  <si>
    <t>https://www.sciencedirect.com/science/article/pii/S0168165614008281?casa_token=YKY8IgWTG94AAAAA:QYHeOlRlkU5vO9QBCeBlKy5WR35cAQoiIz9hrmHT2PC3Rf-ojLz-POK5RVwdGWtwMfAVzJa_Iw</t>
  </si>
  <si>
    <t>Human lysozyme</t>
  </si>
  <si>
    <t>https://link.springer.com/article/10.1007/s10529-004-4614-9</t>
  </si>
  <si>
    <t>Bacterial xylanase</t>
  </si>
  <si>
    <t>https://journals.asm.org/doi/epdf/10.1128/aem.63.8.3297-3300.1997</t>
  </si>
  <si>
    <t>https://www.nature.com/articles/s42003-024-06341-z</t>
  </si>
  <si>
    <t>https://www.nature.com/articles/nbt1091-968</t>
  </si>
  <si>
    <t>https://onlinelibrary.wiley.com/doi/abs/10.1002/yea.320101006?casa_token=6lbkgiwbSxAAAAAA:a_i4N1F0seKTJAFIJVkkFZ7N-8MR3M6Wlc6ZfQ61exif8AAykT7WK06sEZcqWaPD1zMog5N2yVggFME</t>
  </si>
  <si>
    <t>https://academic.oup.com/bbb/article-abstract/68/10/2058/5953199?redirectedFrom=fulltext&amp;login=true</t>
  </si>
  <si>
    <r>
      <t>Ogataea polymorpha</t>
    </r>
    <r>
      <rPr>
        <sz val="12"/>
        <color theme="1"/>
        <rFont val="Times New Roman"/>
        <family val="1"/>
      </rPr>
      <t xml:space="preserve"> </t>
    </r>
  </si>
  <si>
    <t>https://www.jmb.or.kr/journal/view.html?volume=20&amp;number=11&amp;spage=1534#:~:text=To%20comply%20with%20this%20purpose,protein%20production%20in%20microbial%20fermentations.</t>
  </si>
  <si>
    <t>https://pmc.ncbi.nlm.nih.gov/articles/PMC2040192/#sec2</t>
  </si>
  <si>
    <t>https://pubmed.ncbi.nlm.nih.gov/10099617/</t>
  </si>
  <si>
    <t>Phytase</t>
  </si>
  <si>
    <t>Staphylokinase</t>
  </si>
  <si>
    <t>https://link.springer.com/article/10.1186/1472-6750-12-96/figures/7</t>
  </si>
  <si>
    <t>Streptavidin</t>
  </si>
  <si>
    <t>https://www.sciencedirect.com/science/article/pii/S0168165616301237?via%3Dihub</t>
  </si>
  <si>
    <t>Schizosaccharomyces pombe</t>
  </si>
  <si>
    <t>https://www.sciencedirect.com/science/article/pii/S1389172325001665</t>
  </si>
  <si>
    <t>Monooxygenase</t>
  </si>
  <si>
    <t>Lipase</t>
  </si>
  <si>
    <t>Protease</t>
  </si>
  <si>
    <t>Ovomucoid</t>
  </si>
  <si>
    <t>Laccase</t>
  </si>
  <si>
    <t>Glucanase</t>
  </si>
  <si>
    <t>Prochymosin</t>
  </si>
  <si>
    <t>HSA</t>
  </si>
  <si>
    <t>Chaperone</t>
  </si>
  <si>
    <t>PETase</t>
  </si>
  <si>
    <t>GOS</t>
  </si>
  <si>
    <t>ScFv</t>
  </si>
  <si>
    <t>Anitbody</t>
  </si>
  <si>
    <t>FAB</t>
  </si>
  <si>
    <t>Venom</t>
  </si>
  <si>
    <t>Cathepsin</t>
  </si>
  <si>
    <t>Transglutaminase</t>
  </si>
  <si>
    <t>Insulin</t>
  </si>
  <si>
    <t>Lysozyme</t>
  </si>
  <si>
    <t>Xylanase</t>
  </si>
  <si>
    <r>
      <t>Cyberlindnera jadinii</t>
    </r>
    <r>
      <rPr>
        <sz val="12"/>
        <color theme="1"/>
        <rFont val="Times New Roman"/>
        <family val="1"/>
      </rPr>
      <t xml:space="preserve"> </t>
    </r>
  </si>
  <si>
    <t>Invertase</t>
  </si>
  <si>
    <t>Time</t>
  </si>
  <si>
    <t>Yield</t>
  </si>
  <si>
    <r>
      <t>Ogataea (para)polymorpha</t>
    </r>
    <r>
      <rPr>
        <sz val="12"/>
        <color theme="1"/>
        <rFont val="Times New Roman"/>
        <family val="1"/>
      </rPr>
      <t xml:space="preserve"> </t>
    </r>
  </si>
  <si>
    <t>Lactoferrin</t>
  </si>
  <si>
    <t>https://www.sciencedirect.com/science/article/pii/S2212429224004875</t>
  </si>
  <si>
    <t>Leghemoglobin</t>
  </si>
  <si>
    <t>https://www.sciencedirect.com/science/article/pii/S1359511325001813#fig0020</t>
  </si>
  <si>
    <t>Collegan</t>
  </si>
  <si>
    <t>https://bioresourcesbioprocessing.springeropen.com/articles/10.1186/s40643-022-00605-4#Sec18</t>
  </si>
  <si>
    <t>https://bioresourcesbioprocessing.springeropen.com/articles/10.1186/s40643-022-00606-3</t>
  </si>
  <si>
    <t>https://analyticalsciencejournals.onlinelibrary.wiley.com/doi/full/10.1002/biot.70046</t>
  </si>
  <si>
    <t>https://www.sciencedirect.com/science/article/abs/pii/S1385894726039732?via%3Dihub</t>
  </si>
  <si>
    <t>https://pmc.ncbi.nlm.nih.gov/articles/PMC13022228/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</si>
</sst>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rgb="FF333333"/>
      <name val="Georgia"/>
      <family val="1"/>
    </font>
    <font>
      <sz val="11"/>
      <color rgb="FF222222"/>
      <name val="Times New Roman"/>
      <family val="1"/>
    </font>
    <font>
      <sz val="11"/>
      <color rgb="FF262626"/>
      <name val="Arial"/>
      <family val="2"/>
    </font>
    <font>
      <b/>
      <sz val="11"/>
      <color rgb="FF151515"/>
      <name val="Arial"/>
      <family val="2"/>
    </font>
    <font>
      <sz val="11"/>
      <color rgb="FF333333"/>
      <name val="Georgia"/>
      <family val="1"/>
    </font>
    <font>
      <i/>
      <sz val="11"/>
      <color rgb="FF222222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2" fillId="0" borderId="0" xfId="0" applyFont="1"/>
    <xf numFmtId="0" fontId="1" fillId="0" borderId="0" xfId="1" applyAlignment="1">
      <alignment wrapText="1"/>
    </xf>
    <xf numFmtId="0" fontId="3" fillId="0" borderId="0" xfId="0" applyFont="1"/>
    <xf numFmtId="2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ink.springer.com/article/10.1186/s13568-017-0368-3" TargetMode="External"/><Relationship Id="rId18" Type="http://schemas.openxmlformats.org/officeDocument/2006/relationships/hyperlink" Target="https://analyticalsciencejournals.onlinelibrary.wiley.com/doi/epdf/10.1002/bit.1125" TargetMode="External"/><Relationship Id="rId26" Type="http://schemas.openxmlformats.org/officeDocument/2006/relationships/hyperlink" Target="https://analyticalsciencejournals.onlinelibrary.wiley.com/doi/10.1002/bit.28600" TargetMode="External"/><Relationship Id="rId39" Type="http://schemas.openxmlformats.org/officeDocument/2006/relationships/hyperlink" Target="https://www.nature.com/articles/s42003-024-06341-z" TargetMode="External"/><Relationship Id="rId21" Type="http://schemas.openxmlformats.org/officeDocument/2006/relationships/hyperlink" Target="https://pubs.acs.org/doi/10.1021/acs.jafc.5c03402" TargetMode="External"/><Relationship Id="rId34" Type="http://schemas.openxmlformats.org/officeDocument/2006/relationships/hyperlink" Target="https://link.springer.com/article/10.1186/s12934-016-0488-5" TargetMode="External"/><Relationship Id="rId42" Type="http://schemas.openxmlformats.org/officeDocument/2006/relationships/hyperlink" Target="https://academic.oup.com/bbb/article-abstract/68/10/2058/5953199?redirectedFrom=fulltext&amp;login=true" TargetMode="External"/><Relationship Id="rId47" Type="http://schemas.openxmlformats.org/officeDocument/2006/relationships/hyperlink" Target="https://pubmed.ncbi.nlm.nih.gov/10099617/" TargetMode="External"/><Relationship Id="rId50" Type="http://schemas.openxmlformats.org/officeDocument/2006/relationships/hyperlink" Target="https://bioresourcesbioprocessing.springeropen.com/articles/10.1186/s40643-022-00605-4" TargetMode="External"/><Relationship Id="rId7" Type="http://schemas.openxmlformats.org/officeDocument/2006/relationships/hyperlink" Target="https://www.sciencedirect.com/science/article/pii/S014102291400194X" TargetMode="External"/><Relationship Id="rId2" Type="http://schemas.openxmlformats.org/officeDocument/2006/relationships/hyperlink" Target="https://microbialcellfactories.biomedcentral.com/articles/10.1186/s12934-023-02132-z" TargetMode="External"/><Relationship Id="rId16" Type="http://schemas.openxmlformats.org/officeDocument/2006/relationships/hyperlink" Target="https://www.cell.com/heliyon/fulltext/S2405-8440(21)01240-8" TargetMode="External"/><Relationship Id="rId29" Type="http://schemas.openxmlformats.org/officeDocument/2006/relationships/hyperlink" Target="https://www.sciencedirect.com/science/article/pii/S0141813025063688?casa_token=-gZefg0AhKgAAAAA:LuARddRC-4ZNRpBJ2enrmvXsQm7DV-hfu6QWY7IhbH0WXM_tzUUdbMEnYZbSM6EsjAODHFtNfio" TargetMode="External"/><Relationship Id="rId11" Type="http://schemas.openxmlformats.org/officeDocument/2006/relationships/hyperlink" Target="https://link.springer.com/article/10.1007/s00253-006-0384-8" TargetMode="External"/><Relationship Id="rId24" Type="http://schemas.openxmlformats.org/officeDocument/2006/relationships/hyperlink" Target="https://aiche.onlinelibrary.wiley.com/doi/10.1002/btpr.695" TargetMode="External"/><Relationship Id="rId32" Type="http://schemas.openxmlformats.org/officeDocument/2006/relationships/hyperlink" Target="https://www.sciencedirect.com/science/article/pii/S016816569900228X?casa_token=zKScHvYq8KkAAAAA:UaAM_dgi6dzspv5uKjIZl6IuoWzy-LBmK81VZ72uqvWjaAtQQ05PePKQsfN_AYpYGFgg3ZPMbfc" TargetMode="External"/><Relationship Id="rId37" Type="http://schemas.openxmlformats.org/officeDocument/2006/relationships/hyperlink" Target="https://www.sciencedirect.com/science/article/pii/S1046592813000879?casa_token=FG6pyZYLTHQAAAAA:TdIvfS23ePYo_xQ_bYjSYuxX2XDMhovT-E7pLzfRho_7VETVeGlhhXd6x9ppnrQ5nOuPrfOtLw" TargetMode="External"/><Relationship Id="rId40" Type="http://schemas.openxmlformats.org/officeDocument/2006/relationships/hyperlink" Target="https://www.nature.com/articles/nbt1091-968" TargetMode="External"/><Relationship Id="rId45" Type="http://schemas.openxmlformats.org/officeDocument/2006/relationships/hyperlink" Target="https://www.sciencedirect.com/science/article/pii/S0168165616301237?via%3Dihub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s://link.springer.com/article/10.1007/s00449-001-0274-5" TargetMode="External"/><Relationship Id="rId10" Type="http://schemas.openxmlformats.org/officeDocument/2006/relationships/hyperlink" Target="https://pmc.ncbi.nlm.nih.gov/articles/PMC4584009/" TargetMode="External"/><Relationship Id="rId19" Type="http://schemas.openxmlformats.org/officeDocument/2006/relationships/hyperlink" Target="https://www.sciencedirect.com/science/article/pii/S1046592824000135" TargetMode="External"/><Relationship Id="rId31" Type="http://schemas.openxmlformats.org/officeDocument/2006/relationships/hyperlink" Target="https://link.springer.com/article/10.1186/s12934-022-01761-0" TargetMode="External"/><Relationship Id="rId44" Type="http://schemas.openxmlformats.org/officeDocument/2006/relationships/hyperlink" Target="https://link.springer.com/article/10.1186/1472-6750-12-96/figures/7" TargetMode="External"/><Relationship Id="rId52" Type="http://schemas.openxmlformats.org/officeDocument/2006/relationships/hyperlink" Target="https://analyticalsciencejournals.onlinelibrary.wiley.com/doi/full/10.1002/biot.70046" TargetMode="External"/><Relationship Id="rId4" Type="http://schemas.openxmlformats.org/officeDocument/2006/relationships/hyperlink" Target="https://link.springer.com/article/10.1186/1754-6834-5-79" TargetMode="External"/><Relationship Id="rId9" Type="http://schemas.openxmlformats.org/officeDocument/2006/relationships/hyperlink" Target="https://analyticalsciencejournals.onlinelibrary.wiley.com/doi/epdf/10.1002/bit.20507" TargetMode="External"/><Relationship Id="rId14" Type="http://schemas.openxmlformats.org/officeDocument/2006/relationships/hyperlink" Target="https://journals.plos.org/plosone/article?id=10.1371/journal.pone.0119833" TargetMode="External"/><Relationship Id="rId22" Type="http://schemas.openxmlformats.org/officeDocument/2006/relationships/hyperlink" Target="https://pubs.acs.org/doi/10.1021/acs.jafc.5c03402" TargetMode="External"/><Relationship Id="rId27" Type="http://schemas.openxmlformats.org/officeDocument/2006/relationships/hyperlink" Target="https://www.nature.com/articles/s42003-023-04413-0" TargetMode="External"/><Relationship Id="rId30" Type="http://schemas.openxmlformats.org/officeDocument/2006/relationships/hyperlink" Target="https://www.sciencedirect.com/science/article/pii/S0141022916301090?casa_token=aeiYiVqBre0AAAAA:vOTJ5EOCOOIQqZUiKhizj36SdN2qTkiDFSIYprYCIBQocxWJWCgDvcB_YDjcoTkuBL5Tgc6sI5s" TargetMode="External"/><Relationship Id="rId35" Type="http://schemas.openxmlformats.org/officeDocument/2006/relationships/hyperlink" Target="https://scijournals.onlinelibrary.wiley.com/doi/full/10.1002/jsfa.13390?casa_token=ktHRcWdNrnkAAAAA%3A-A8YdImSGXRlpY1y_amhQjYUid6J5fGQwBs7BI-qd6cBLaYeW4NygNlZC5Z03kDfEZVQwwxGHC6Vr6o" TargetMode="External"/><Relationship Id="rId43" Type="http://schemas.openxmlformats.org/officeDocument/2006/relationships/hyperlink" Target="https://pmc.ncbi.nlm.nih.gov/articles/PMC2040192/" TargetMode="External"/><Relationship Id="rId48" Type="http://schemas.openxmlformats.org/officeDocument/2006/relationships/hyperlink" Target="https://www.sciencedirect.com/science/article/pii/S2212429224004875" TargetMode="External"/><Relationship Id="rId8" Type="http://schemas.openxmlformats.org/officeDocument/2006/relationships/hyperlink" Target="https://www.sciencedirect.com/science/article/pii/S0141022915300570?casa_token=ciBMwjY9r14AAAAA:Sdpy_q-lu9aM0kmJLYieygcYqhv1iEih2YQvOnElTlzCHnorMREn1TyiDzmhOip0R2QWCptfgN0" TargetMode="External"/><Relationship Id="rId51" Type="http://schemas.openxmlformats.org/officeDocument/2006/relationships/hyperlink" Target="https://bioresourcesbioprocessing.springeropen.com/articles/10.1186/s40643-022-00606-3" TargetMode="External"/><Relationship Id="rId3" Type="http://schemas.openxmlformats.org/officeDocument/2006/relationships/hyperlink" Target="https://www.sciencedirect.com/science/article/pii/S187167842500069X" TargetMode="External"/><Relationship Id="rId12" Type="http://schemas.openxmlformats.org/officeDocument/2006/relationships/hyperlink" Target="https://analyticalsciencejournals.onlinelibrary.wiley.com/doi/full/10.1002/bit.28510" TargetMode="External"/><Relationship Id="rId17" Type="http://schemas.openxmlformats.org/officeDocument/2006/relationships/hyperlink" Target="https://www.elsevier.es/es-revista-brazilian-journal-microbiology-490-articulo-cultivation-pichia-pastoris-carrying-scfv-S1517838216301769" TargetMode="External"/><Relationship Id="rId25" Type="http://schemas.openxmlformats.org/officeDocument/2006/relationships/hyperlink" Target="https://www.sciencedirect.com/science/article/pii/S0141813025058520" TargetMode="External"/><Relationship Id="rId33" Type="http://schemas.openxmlformats.org/officeDocument/2006/relationships/hyperlink" Target="https://pubs.acs.org/doi/full/10.1021/acs.jafc.4c05789?casa_token=_DnJ2OooctAAAAAA%3ApAVcphZoUoNPvGMxzIbHY4jL9trZx9xWL8Mrv2pYn_DhiBdUB2NdMwQupGUmPt6oKdOizhbW0qheuCTr" TargetMode="External"/><Relationship Id="rId38" Type="http://schemas.openxmlformats.org/officeDocument/2006/relationships/hyperlink" Target="https://link.springer.com/article/10.1007/s10529-004-4614-9" TargetMode="External"/><Relationship Id="rId46" Type="http://schemas.openxmlformats.org/officeDocument/2006/relationships/hyperlink" Target="https://www.jmb.or.kr/journal/view.html?volume=20&amp;number=11&amp;spage=1534" TargetMode="External"/><Relationship Id="rId20" Type="http://schemas.openxmlformats.org/officeDocument/2006/relationships/hyperlink" Target="https://pubs.acs.org/doi/10.1021/acs.jafc.5c03402" TargetMode="External"/><Relationship Id="rId41" Type="http://schemas.openxmlformats.org/officeDocument/2006/relationships/hyperlink" Target="https://onlinelibrary.wiley.com/doi/abs/10.1002/yea.320101006?casa_token=6lbkgiwbSxAAAAAA:a_i4N1F0seKTJAFIJVkkFZ7N-8MR3M6Wlc6ZfQ61exif8AAykT7WK06sEZcqWaPD1zMog5N2yVggFME" TargetMode="External"/><Relationship Id="rId1" Type="http://schemas.openxmlformats.org/officeDocument/2006/relationships/hyperlink" Target="https://www.sciencedirect.com/science/article/pii/0167478196000759?via%3Dihub" TargetMode="External"/><Relationship Id="rId6" Type="http://schemas.openxmlformats.org/officeDocument/2006/relationships/hyperlink" Target="https://onlinelibrary.wiley.com/doi/epdf/10.1002/%28SICI%291097-0061%28199908%2915%3A11%3C1087%3A%3AAID-YEA436%3E3.0.CO%3B2-F" TargetMode="External"/><Relationship Id="rId15" Type="http://schemas.openxmlformats.org/officeDocument/2006/relationships/hyperlink" Target="https://link.springer.com/article/10.1186/s12934-025-02679-z" TargetMode="External"/><Relationship Id="rId23" Type="http://schemas.openxmlformats.org/officeDocument/2006/relationships/hyperlink" Target="https://www.sciencedirect.com/science/article/pii/S0168165611003208?via%3Dihub" TargetMode="External"/><Relationship Id="rId28" Type="http://schemas.openxmlformats.org/officeDocument/2006/relationships/hyperlink" Target="https://academic.oup.com/jambio/article/98/2/418/6722483?login=true" TargetMode="External"/><Relationship Id="rId36" Type="http://schemas.openxmlformats.org/officeDocument/2006/relationships/hyperlink" Target="https://pmc.ncbi.nlm.nih.gov/articles/PMC9252082/" TargetMode="External"/><Relationship Id="rId49" Type="http://schemas.openxmlformats.org/officeDocument/2006/relationships/hyperlink" Target="https://www.sciencedirect.com/science/article/pii/S13595113250018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"/>
  <sheetViews>
    <sheetView tabSelected="1" topLeftCell="A31" zoomScale="70" zoomScaleNormal="70" workbookViewId="0">
      <selection activeCell="G66" sqref="G66"/>
    </sheetView>
  </sheetViews>
  <sheetFormatPr defaultRowHeight="14.4" x14ac:dyDescent="0.3"/>
  <cols>
    <col min="1" max="1" width="20.88671875" customWidth="1"/>
    <col min="2" max="4" width="18.21875" customWidth="1"/>
    <col min="5" max="5" width="23.88671875" customWidth="1"/>
    <col min="6" max="6" width="14.88671875" customWidth="1"/>
    <col min="7" max="7" width="32.109375" customWidth="1"/>
    <col min="8" max="8" width="13.77734375" customWidth="1"/>
    <col min="9" max="10" width="13.109375" customWidth="1"/>
    <col min="11" max="12" width="23.44140625" customWidth="1"/>
    <col min="13" max="13" width="61.6640625" customWidth="1"/>
    <col min="14" max="14" width="31.5546875" customWidth="1"/>
  </cols>
  <sheetData>
    <row r="1" spans="1:13" x14ac:dyDescent="0.3">
      <c r="A1" t="s">
        <v>1</v>
      </c>
      <c r="B1" t="s">
        <v>13</v>
      </c>
      <c r="E1" t="s">
        <v>2</v>
      </c>
      <c r="G1" t="s">
        <v>18</v>
      </c>
      <c r="H1" t="s">
        <v>3</v>
      </c>
      <c r="I1" t="s">
        <v>8</v>
      </c>
      <c r="J1" t="s">
        <v>9</v>
      </c>
      <c r="K1" t="s">
        <v>7</v>
      </c>
      <c r="L1" t="s">
        <v>14</v>
      </c>
      <c r="M1" t="s">
        <v>4</v>
      </c>
    </row>
    <row r="2" spans="1:13" x14ac:dyDescent="0.3">
      <c r="A2" s="2" t="s">
        <v>11</v>
      </c>
      <c r="B2">
        <v>2012</v>
      </c>
      <c r="C2">
        <f>9.5/12</f>
        <v>0.79166666666666663</v>
      </c>
      <c r="D2">
        <f>SUM(B2:C2)</f>
        <v>2012.7916666666667</v>
      </c>
      <c r="E2" s="4" t="s">
        <v>19</v>
      </c>
      <c r="F2" s="4" t="s">
        <v>133</v>
      </c>
      <c r="H2" t="s">
        <v>21</v>
      </c>
      <c r="I2">
        <v>2.7</v>
      </c>
      <c r="J2" s="4">
        <f>447*0.25</f>
        <v>111.75</v>
      </c>
      <c r="K2">
        <f t="shared" ref="K2:K9" si="0">I2/J2</f>
        <v>2.4161073825503358E-2</v>
      </c>
      <c r="M2" s="1" t="s">
        <v>20</v>
      </c>
    </row>
    <row r="3" spans="1:13" x14ac:dyDescent="0.3">
      <c r="A3" s="2" t="s">
        <v>11</v>
      </c>
      <c r="B3">
        <v>2002</v>
      </c>
      <c r="C3">
        <f>2.5/12</f>
        <v>0.20833333333333334</v>
      </c>
      <c r="D3">
        <f t="shared" ref="D3:D32" si="1">SUM(B3:C3)</f>
        <v>2002.2083333333333</v>
      </c>
      <c r="E3" t="s">
        <v>23</v>
      </c>
      <c r="F3" t="s">
        <v>134</v>
      </c>
      <c r="H3" t="s">
        <v>10</v>
      </c>
      <c r="I3">
        <v>1.5</v>
      </c>
      <c r="J3">
        <v>158</v>
      </c>
      <c r="K3">
        <f t="shared" si="0"/>
        <v>9.4936708860759497E-3</v>
      </c>
      <c r="M3" s="1" t="s">
        <v>22</v>
      </c>
    </row>
    <row r="4" spans="1:13" x14ac:dyDescent="0.3">
      <c r="A4" s="2" t="s">
        <v>11</v>
      </c>
      <c r="B4">
        <v>1999</v>
      </c>
      <c r="C4">
        <f>2.5/12</f>
        <v>0.20833333333333334</v>
      </c>
      <c r="D4">
        <f t="shared" si="1"/>
        <v>1999.2083333333333</v>
      </c>
      <c r="E4" t="s">
        <v>24</v>
      </c>
      <c r="F4" t="s">
        <v>24</v>
      </c>
      <c r="H4" t="s">
        <v>10</v>
      </c>
      <c r="I4">
        <v>4.3</v>
      </c>
      <c r="J4">
        <f>400*0.25</f>
        <v>100</v>
      </c>
      <c r="K4">
        <f t="shared" si="0"/>
        <v>4.2999999999999997E-2</v>
      </c>
      <c r="M4" s="1" t="s">
        <v>25</v>
      </c>
    </row>
    <row r="5" spans="1:13" x14ac:dyDescent="0.3">
      <c r="A5" s="2" t="s">
        <v>11</v>
      </c>
      <c r="B5">
        <v>2015</v>
      </c>
      <c r="C5">
        <f>3.5/12</f>
        <v>0.29166666666666669</v>
      </c>
      <c r="D5">
        <f t="shared" si="1"/>
        <v>2015.2916666666667</v>
      </c>
      <c r="E5" t="s">
        <v>26</v>
      </c>
      <c r="F5" t="s">
        <v>134</v>
      </c>
      <c r="H5" t="s">
        <v>10</v>
      </c>
      <c r="I5">
        <v>2.82</v>
      </c>
      <c r="J5">
        <f>262*0.25</f>
        <v>65.5</v>
      </c>
      <c r="K5">
        <f t="shared" si="0"/>
        <v>4.3053435114503817E-2</v>
      </c>
      <c r="M5" s="1" t="s">
        <v>27</v>
      </c>
    </row>
    <row r="6" spans="1:13" x14ac:dyDescent="0.3">
      <c r="A6" s="2" t="s">
        <v>11</v>
      </c>
      <c r="B6">
        <v>2016</v>
      </c>
      <c r="C6">
        <f>9.5/12</f>
        <v>0.79166666666666663</v>
      </c>
      <c r="D6">
        <f t="shared" si="1"/>
        <v>2016.7916666666667</v>
      </c>
      <c r="E6" t="s">
        <v>28</v>
      </c>
      <c r="F6" t="s">
        <v>135</v>
      </c>
      <c r="H6" t="s">
        <v>10</v>
      </c>
      <c r="I6">
        <v>3.21</v>
      </c>
      <c r="J6">
        <f>350*0.25</f>
        <v>87.5</v>
      </c>
      <c r="K6">
        <f t="shared" si="0"/>
        <v>3.6685714285714287E-2</v>
      </c>
      <c r="M6" s="1" t="s">
        <v>29</v>
      </c>
    </row>
    <row r="7" spans="1:13" x14ac:dyDescent="0.3">
      <c r="A7" s="2" t="s">
        <v>11</v>
      </c>
      <c r="B7">
        <v>2016</v>
      </c>
      <c r="C7">
        <f>0.5/12</f>
        <v>4.1666666666666664E-2</v>
      </c>
      <c r="D7">
        <f t="shared" si="1"/>
        <v>2016.0416666666667</v>
      </c>
      <c r="E7" t="s">
        <v>30</v>
      </c>
      <c r="F7" t="s">
        <v>134</v>
      </c>
      <c r="H7" t="s">
        <v>21</v>
      </c>
      <c r="I7">
        <v>5.04</v>
      </c>
      <c r="J7">
        <f>410*0.25</f>
        <v>102.5</v>
      </c>
      <c r="K7">
        <f t="shared" si="0"/>
        <v>4.9170731707317075E-2</v>
      </c>
      <c r="M7" s="1" t="s">
        <v>32</v>
      </c>
    </row>
    <row r="8" spans="1:13" x14ac:dyDescent="0.3">
      <c r="A8" s="2" t="s">
        <v>11</v>
      </c>
      <c r="B8">
        <v>2025</v>
      </c>
      <c r="C8">
        <f>7.5/12</f>
        <v>0.625</v>
      </c>
      <c r="D8">
        <f t="shared" si="1"/>
        <v>2025.625</v>
      </c>
      <c r="E8" t="s">
        <v>33</v>
      </c>
      <c r="F8" t="s">
        <v>136</v>
      </c>
      <c r="H8" t="s">
        <v>31</v>
      </c>
      <c r="I8">
        <v>0.92900000000000005</v>
      </c>
      <c r="J8">
        <v>176</v>
      </c>
      <c r="K8">
        <f t="shared" si="0"/>
        <v>5.2784090909090914E-3</v>
      </c>
      <c r="M8" s="1" t="s">
        <v>34</v>
      </c>
    </row>
    <row r="9" spans="1:13" x14ac:dyDescent="0.3">
      <c r="A9" s="2" t="s">
        <v>11</v>
      </c>
      <c r="B9">
        <v>2023</v>
      </c>
      <c r="C9">
        <f>6.5/12</f>
        <v>0.54166666666666663</v>
      </c>
      <c r="D9">
        <f t="shared" si="1"/>
        <v>2023.5416666666667</v>
      </c>
      <c r="E9" t="s">
        <v>49</v>
      </c>
      <c r="F9" t="s">
        <v>126</v>
      </c>
      <c r="H9" t="s">
        <v>10</v>
      </c>
      <c r="I9">
        <v>1.1499999999999999</v>
      </c>
      <c r="J9">
        <v>106.87</v>
      </c>
      <c r="K9">
        <f t="shared" si="0"/>
        <v>1.0760737344437166E-2</v>
      </c>
      <c r="M9" s="1" t="s">
        <v>38</v>
      </c>
    </row>
    <row r="10" spans="1:13" x14ac:dyDescent="0.3">
      <c r="A10" s="2" t="s">
        <v>11</v>
      </c>
      <c r="B10">
        <v>2005</v>
      </c>
      <c r="C10">
        <f>1.5/12</f>
        <v>0.125</v>
      </c>
      <c r="D10">
        <f t="shared" si="1"/>
        <v>2005.125</v>
      </c>
      <c r="E10" t="s">
        <v>39</v>
      </c>
      <c r="F10" t="s">
        <v>140</v>
      </c>
      <c r="H10" t="s">
        <v>10</v>
      </c>
      <c r="K10">
        <v>5.8700000000000002E-2</v>
      </c>
      <c r="M10" s="1" t="s">
        <v>40</v>
      </c>
    </row>
    <row r="11" spans="1:13" x14ac:dyDescent="0.3">
      <c r="A11" s="2" t="s">
        <v>11</v>
      </c>
      <c r="B11">
        <v>2005</v>
      </c>
      <c r="C11">
        <f>1.5/12</f>
        <v>0.125</v>
      </c>
      <c r="D11">
        <f t="shared" si="1"/>
        <v>2005.125</v>
      </c>
      <c r="E11" t="s">
        <v>41</v>
      </c>
      <c r="F11" t="s">
        <v>126</v>
      </c>
      <c r="H11" t="s">
        <v>42</v>
      </c>
      <c r="I11">
        <v>6.1</v>
      </c>
      <c r="J11">
        <f>365*0.35</f>
        <v>127.74999999999999</v>
      </c>
      <c r="K11">
        <f t="shared" ref="K11:K20" si="2">I11/J11</f>
        <v>4.7749510763209393E-2</v>
      </c>
      <c r="M11" s="1" t="s">
        <v>43</v>
      </c>
    </row>
    <row r="12" spans="1:13" x14ac:dyDescent="0.3">
      <c r="A12" s="2" t="s">
        <v>11</v>
      </c>
      <c r="B12">
        <v>2015</v>
      </c>
      <c r="C12">
        <f>8.5/12</f>
        <v>0.70833333333333337</v>
      </c>
      <c r="D12">
        <f t="shared" si="1"/>
        <v>2015.7083333333333</v>
      </c>
      <c r="E12" t="s">
        <v>44</v>
      </c>
      <c r="F12" t="s">
        <v>126</v>
      </c>
      <c r="G12" t="s">
        <v>46</v>
      </c>
      <c r="H12" t="s">
        <v>10</v>
      </c>
      <c r="I12">
        <v>9.58</v>
      </c>
      <c r="J12">
        <f>420*0.35</f>
        <v>147</v>
      </c>
      <c r="K12">
        <f t="shared" si="2"/>
        <v>6.5170068027210884E-2</v>
      </c>
      <c r="M12" s="1" t="s">
        <v>45</v>
      </c>
    </row>
    <row r="13" spans="1:13" x14ac:dyDescent="0.3">
      <c r="A13" s="2" t="s">
        <v>11</v>
      </c>
      <c r="B13">
        <v>2006</v>
      </c>
      <c r="C13">
        <f>3.5/12</f>
        <v>0.29166666666666669</v>
      </c>
      <c r="D13">
        <f t="shared" si="1"/>
        <v>2006.2916666666667</v>
      </c>
      <c r="E13" t="s">
        <v>47</v>
      </c>
      <c r="F13" t="s">
        <v>126</v>
      </c>
      <c r="H13" t="s">
        <v>10</v>
      </c>
      <c r="I13">
        <v>12.2</v>
      </c>
      <c r="J13">
        <f>392*0.35</f>
        <v>137.19999999999999</v>
      </c>
      <c r="K13">
        <f t="shared" si="2"/>
        <v>8.8921282798833823E-2</v>
      </c>
      <c r="M13" s="1" t="s">
        <v>48</v>
      </c>
    </row>
    <row r="14" spans="1:13" x14ac:dyDescent="0.3">
      <c r="A14" s="2" t="s">
        <v>11</v>
      </c>
      <c r="B14">
        <v>2017</v>
      </c>
      <c r="C14">
        <f>2.5/12</f>
        <v>0.20833333333333334</v>
      </c>
      <c r="D14">
        <f t="shared" si="1"/>
        <v>2017.2083333333333</v>
      </c>
      <c r="E14" t="s">
        <v>50</v>
      </c>
      <c r="F14" t="s">
        <v>137</v>
      </c>
      <c r="H14" t="s">
        <v>10</v>
      </c>
      <c r="I14">
        <v>1.05</v>
      </c>
      <c r="J14">
        <f>460*0.35</f>
        <v>161</v>
      </c>
      <c r="K14">
        <f t="shared" si="2"/>
        <v>6.5217391304347831E-3</v>
      </c>
      <c r="M14" s="1" t="s">
        <v>51</v>
      </c>
    </row>
    <row r="15" spans="1:13" x14ac:dyDescent="0.3">
      <c r="A15" s="2" t="s">
        <v>11</v>
      </c>
      <c r="B15">
        <v>2015</v>
      </c>
      <c r="C15">
        <f>2.5/12</f>
        <v>0.20833333333333334</v>
      </c>
      <c r="D15">
        <f t="shared" si="1"/>
        <v>2015.2083333333333</v>
      </c>
      <c r="E15" t="s">
        <v>81</v>
      </c>
      <c r="F15" t="s">
        <v>137</v>
      </c>
      <c r="H15" t="s">
        <v>10</v>
      </c>
      <c r="I15">
        <v>1.2</v>
      </c>
      <c r="J15">
        <f>530*0.35</f>
        <v>185.5</v>
      </c>
      <c r="K15">
        <f t="shared" si="2"/>
        <v>6.4690026954177899E-3</v>
      </c>
      <c r="M15" s="1" t="s">
        <v>52</v>
      </c>
    </row>
    <row r="16" spans="1:13" x14ac:dyDescent="0.3">
      <c r="A16" s="2" t="s">
        <v>11</v>
      </c>
      <c r="B16">
        <v>2025</v>
      </c>
      <c r="C16">
        <f>2.5/12</f>
        <v>0.20833333333333334</v>
      </c>
      <c r="D16">
        <f>SUM(B16:C16)</f>
        <v>2025.2083333333333</v>
      </c>
      <c r="E16" t="s">
        <v>53</v>
      </c>
      <c r="F16" t="s">
        <v>141</v>
      </c>
      <c r="H16" t="s">
        <v>10</v>
      </c>
      <c r="I16">
        <v>7.0000000000000007E-2</v>
      </c>
      <c r="J16">
        <f>250*0.25</f>
        <v>62.5</v>
      </c>
      <c r="K16">
        <f t="shared" si="2"/>
        <v>1.1200000000000001E-3</v>
      </c>
      <c r="M16" s="1" t="s">
        <v>54</v>
      </c>
    </row>
    <row r="17" spans="1:13" x14ac:dyDescent="0.3">
      <c r="A17" s="2" t="s">
        <v>11</v>
      </c>
      <c r="B17">
        <v>2021</v>
      </c>
      <c r="C17">
        <f>4.5/12</f>
        <v>0.375</v>
      </c>
      <c r="D17">
        <f t="shared" si="1"/>
        <v>2021.375</v>
      </c>
      <c r="E17" t="s">
        <v>55</v>
      </c>
      <c r="F17" t="s">
        <v>139</v>
      </c>
      <c r="H17" t="s">
        <v>31</v>
      </c>
      <c r="I17">
        <v>0.08</v>
      </c>
      <c r="J17">
        <f>382*0.25</f>
        <v>95.5</v>
      </c>
      <c r="K17">
        <f t="shared" si="2"/>
        <v>8.3769633507853401E-4</v>
      </c>
      <c r="M17" s="1" t="s">
        <v>56</v>
      </c>
    </row>
    <row r="18" spans="1:13" x14ac:dyDescent="0.3">
      <c r="A18" s="2" t="s">
        <v>11</v>
      </c>
      <c r="B18">
        <v>2023</v>
      </c>
      <c r="C18">
        <f>0.5/12</f>
        <v>4.1666666666666664E-2</v>
      </c>
      <c r="D18">
        <f t="shared" si="1"/>
        <v>2023.0416666666667</v>
      </c>
      <c r="E18" t="s">
        <v>57</v>
      </c>
      <c r="F18" t="s">
        <v>142</v>
      </c>
      <c r="H18" t="s">
        <v>10</v>
      </c>
      <c r="I18">
        <v>1.1499999999999999</v>
      </c>
      <c r="J18">
        <f>270*0.25</f>
        <v>67.5</v>
      </c>
      <c r="K18">
        <f t="shared" si="2"/>
        <v>1.7037037037037035E-2</v>
      </c>
      <c r="M18" s="1" t="s">
        <v>58</v>
      </c>
    </row>
    <row r="19" spans="1:13" x14ac:dyDescent="0.3">
      <c r="A19" s="2" t="s">
        <v>11</v>
      </c>
      <c r="B19">
        <v>2023</v>
      </c>
      <c r="C19">
        <f>11.5/12</f>
        <v>0.95833333333333337</v>
      </c>
      <c r="D19">
        <f t="shared" si="1"/>
        <v>2023.9583333333333</v>
      </c>
      <c r="E19" t="s">
        <v>16</v>
      </c>
      <c r="F19" t="s">
        <v>143</v>
      </c>
      <c r="G19" t="s">
        <v>59</v>
      </c>
      <c r="H19" t="s">
        <v>10</v>
      </c>
      <c r="I19">
        <v>30.7</v>
      </c>
      <c r="J19">
        <v>86</v>
      </c>
      <c r="K19">
        <f t="shared" si="2"/>
        <v>0.35697674418604652</v>
      </c>
      <c r="M19" s="1" t="s">
        <v>60</v>
      </c>
    </row>
    <row r="20" spans="1:13" x14ac:dyDescent="0.3">
      <c r="A20" s="2" t="s">
        <v>11</v>
      </c>
      <c r="B20">
        <v>2023</v>
      </c>
      <c r="C20">
        <f>5.5/12</f>
        <v>0.45833333333333331</v>
      </c>
      <c r="D20">
        <f t="shared" si="1"/>
        <v>2023.4583333333333</v>
      </c>
      <c r="E20" s="4" t="s">
        <v>61</v>
      </c>
      <c r="F20" s="4" t="s">
        <v>142</v>
      </c>
      <c r="H20" t="s">
        <v>10</v>
      </c>
      <c r="I20">
        <v>0.69099999999999995</v>
      </c>
      <c r="J20">
        <f>474*0.35</f>
        <v>165.89999999999998</v>
      </c>
      <c r="K20">
        <f t="shared" si="2"/>
        <v>4.1651597347799885E-3</v>
      </c>
      <c r="M20" t="s">
        <v>62</v>
      </c>
    </row>
    <row r="21" spans="1:13" x14ac:dyDescent="0.3">
      <c r="A21" s="2" t="s">
        <v>11</v>
      </c>
      <c r="B21">
        <v>2017</v>
      </c>
      <c r="C21">
        <f>1.5/12</f>
        <v>0.125</v>
      </c>
      <c r="D21">
        <f t="shared" si="1"/>
        <v>2017.125</v>
      </c>
      <c r="E21" t="s">
        <v>64</v>
      </c>
      <c r="F21" t="s">
        <v>144</v>
      </c>
      <c r="H21" t="s">
        <v>31</v>
      </c>
      <c r="K21">
        <v>7.0000000000000001E-3</v>
      </c>
      <c r="M21" s="1" t="s">
        <v>65</v>
      </c>
    </row>
    <row r="22" spans="1:13" x14ac:dyDescent="0.3">
      <c r="A22" s="2" t="s">
        <v>11</v>
      </c>
      <c r="B22">
        <v>2001</v>
      </c>
      <c r="C22">
        <f>3.5/12</f>
        <v>0.29166666666666669</v>
      </c>
      <c r="D22">
        <f t="shared" si="1"/>
        <v>2001.2916666666667</v>
      </c>
      <c r="E22" t="s">
        <v>66</v>
      </c>
      <c r="F22" t="s">
        <v>12</v>
      </c>
      <c r="H22" t="s">
        <v>10</v>
      </c>
      <c r="I22">
        <v>4.4999999999999998E-2</v>
      </c>
      <c r="J22">
        <f>324*0.25</f>
        <v>81</v>
      </c>
      <c r="K22">
        <f t="shared" ref="K22:K39" si="3">I22/J22</f>
        <v>5.5555555555555556E-4</v>
      </c>
      <c r="M22" s="1" t="s">
        <v>67</v>
      </c>
    </row>
    <row r="23" spans="1:13" x14ac:dyDescent="0.3">
      <c r="A23" s="2" t="s">
        <v>11</v>
      </c>
      <c r="B23">
        <v>2025</v>
      </c>
      <c r="C23">
        <f>6.5/12</f>
        <v>0.54166666666666663</v>
      </c>
      <c r="D23">
        <f t="shared" si="1"/>
        <v>2025.5416666666667</v>
      </c>
      <c r="E23" t="s">
        <v>71</v>
      </c>
      <c r="F23" t="s">
        <v>145</v>
      </c>
      <c r="H23" t="s">
        <v>31</v>
      </c>
      <c r="I23">
        <v>0.34</v>
      </c>
      <c r="J23">
        <v>5.5</v>
      </c>
      <c r="K23">
        <f t="shared" si="3"/>
        <v>6.1818181818181821E-2</v>
      </c>
      <c r="M23" s="1" t="s">
        <v>72</v>
      </c>
    </row>
    <row r="24" spans="1:13" x14ac:dyDescent="0.3">
      <c r="A24" s="2" t="s">
        <v>11</v>
      </c>
      <c r="B24">
        <v>2011</v>
      </c>
      <c r="C24">
        <f>9.5/12</f>
        <v>0.79166666666666663</v>
      </c>
      <c r="D24">
        <f t="shared" si="1"/>
        <v>2011.7916666666667</v>
      </c>
      <c r="E24" t="s">
        <v>73</v>
      </c>
      <c r="F24" t="s">
        <v>73</v>
      </c>
      <c r="H24" t="s">
        <v>42</v>
      </c>
      <c r="I24">
        <v>1.1499999999999999</v>
      </c>
      <c r="J24">
        <f>385*0.25</f>
        <v>96.25</v>
      </c>
      <c r="K24">
        <f t="shared" si="3"/>
        <v>1.1948051948051947E-2</v>
      </c>
      <c r="M24" s="1" t="s">
        <v>74</v>
      </c>
    </row>
    <row r="25" spans="1:13" x14ac:dyDescent="0.3">
      <c r="A25" s="2" t="s">
        <v>11</v>
      </c>
      <c r="B25">
        <v>2011</v>
      </c>
      <c r="C25">
        <f>8.5/12</f>
        <v>0.70833333333333337</v>
      </c>
      <c r="D25">
        <f t="shared" si="1"/>
        <v>2011.7083333333333</v>
      </c>
      <c r="E25" t="s">
        <v>73</v>
      </c>
      <c r="F25" t="s">
        <v>73</v>
      </c>
      <c r="H25" t="s">
        <v>31</v>
      </c>
      <c r="I25">
        <v>1.9</v>
      </c>
      <c r="J25">
        <f>340*0.25</f>
        <v>85</v>
      </c>
      <c r="K25">
        <f t="shared" si="3"/>
        <v>2.2352941176470586E-2</v>
      </c>
      <c r="M25" s="1" t="s">
        <v>75</v>
      </c>
    </row>
    <row r="26" spans="1:13" x14ac:dyDescent="0.3">
      <c r="A26" s="2" t="s">
        <v>11</v>
      </c>
      <c r="B26">
        <v>2024</v>
      </c>
      <c r="C26" s="5">
        <f>5.5/12</f>
        <v>0.45833333333333331</v>
      </c>
      <c r="D26">
        <f t="shared" si="1"/>
        <v>2024.4583333333333</v>
      </c>
      <c r="E26" t="s">
        <v>12</v>
      </c>
      <c r="F26" t="s">
        <v>12</v>
      </c>
      <c r="G26" t="s">
        <v>76</v>
      </c>
      <c r="H26" t="s">
        <v>31</v>
      </c>
      <c r="I26">
        <v>22.97</v>
      </c>
      <c r="J26">
        <f>430*0.25</f>
        <v>107.5</v>
      </c>
      <c r="K26">
        <f t="shared" si="3"/>
        <v>0.21367441860465114</v>
      </c>
      <c r="M26" s="1" t="s">
        <v>77</v>
      </c>
    </row>
    <row r="27" spans="1:13" x14ac:dyDescent="0.3">
      <c r="A27" s="2" t="s">
        <v>11</v>
      </c>
      <c r="B27">
        <v>2025</v>
      </c>
      <c r="C27">
        <f>6.5/12</f>
        <v>0.54166666666666663</v>
      </c>
      <c r="D27">
        <f t="shared" si="1"/>
        <v>2025.5416666666667</v>
      </c>
      <c r="E27" t="s">
        <v>39</v>
      </c>
      <c r="F27" t="s">
        <v>140</v>
      </c>
      <c r="H27" t="s">
        <v>42</v>
      </c>
      <c r="I27">
        <v>3.8</v>
      </c>
      <c r="J27">
        <f>414*0.25</f>
        <v>103.5</v>
      </c>
      <c r="K27">
        <f t="shared" si="3"/>
        <v>3.6714975845410627E-2</v>
      </c>
      <c r="M27" s="1" t="s">
        <v>78</v>
      </c>
    </row>
    <row r="28" spans="1:13" x14ac:dyDescent="0.3">
      <c r="A28" s="2" t="s">
        <v>11</v>
      </c>
      <c r="B28">
        <v>2025</v>
      </c>
      <c r="C28">
        <f>6.5/12</f>
        <v>0.54166666666666663</v>
      </c>
      <c r="D28">
        <f t="shared" si="1"/>
        <v>2025.5416666666667</v>
      </c>
      <c r="E28" t="s">
        <v>79</v>
      </c>
      <c r="F28" t="s">
        <v>138</v>
      </c>
      <c r="H28" t="s">
        <v>42</v>
      </c>
      <c r="I28">
        <v>1.3</v>
      </c>
      <c r="J28">
        <f>355*0.25</f>
        <v>88.75</v>
      </c>
      <c r="K28">
        <f t="shared" si="3"/>
        <v>1.4647887323943662E-2</v>
      </c>
      <c r="M28" s="1" t="s">
        <v>78</v>
      </c>
    </row>
    <row r="29" spans="1:13" x14ac:dyDescent="0.3">
      <c r="A29" s="2" t="s">
        <v>11</v>
      </c>
      <c r="B29">
        <v>2025</v>
      </c>
      <c r="C29">
        <f>6.5/12</f>
        <v>0.54166666666666663</v>
      </c>
      <c r="D29">
        <f t="shared" si="1"/>
        <v>2025.5416666666667</v>
      </c>
      <c r="E29" t="s">
        <v>80</v>
      </c>
      <c r="F29" t="s">
        <v>88</v>
      </c>
      <c r="H29" t="s">
        <v>42</v>
      </c>
      <c r="I29">
        <v>1.5</v>
      </c>
      <c r="J29">
        <f>370*0.25</f>
        <v>92.5</v>
      </c>
      <c r="K29">
        <f t="shared" si="3"/>
        <v>1.6216216216216217E-2</v>
      </c>
      <c r="M29" s="1" t="s">
        <v>78</v>
      </c>
    </row>
    <row r="30" spans="1:13" x14ac:dyDescent="0.3">
      <c r="A30" s="2" t="s">
        <v>11</v>
      </c>
      <c r="B30">
        <v>2022</v>
      </c>
      <c r="C30">
        <f>11.5/12</f>
        <v>0.95833333333333337</v>
      </c>
      <c r="D30">
        <f t="shared" si="1"/>
        <v>2022.9583333333333</v>
      </c>
      <c r="E30" t="s">
        <v>82</v>
      </c>
      <c r="F30" t="s">
        <v>146</v>
      </c>
      <c r="H30" t="s">
        <v>42</v>
      </c>
      <c r="I30">
        <v>3.4000000000000002E-2</v>
      </c>
      <c r="J30">
        <f>33.5*0.35</f>
        <v>11.725</v>
      </c>
      <c r="K30">
        <f t="shared" si="3"/>
        <v>2.8997867803837955E-3</v>
      </c>
      <c r="M30" t="s">
        <v>83</v>
      </c>
    </row>
    <row r="31" spans="1:13" x14ac:dyDescent="0.3">
      <c r="A31" s="2" t="s">
        <v>11</v>
      </c>
      <c r="B31">
        <v>2018</v>
      </c>
      <c r="C31">
        <f>2.5/12</f>
        <v>0.20833333333333334</v>
      </c>
      <c r="D31">
        <f t="shared" si="1"/>
        <v>2018.2083333333333</v>
      </c>
      <c r="E31" t="s">
        <v>39</v>
      </c>
      <c r="F31" t="s">
        <v>140</v>
      </c>
      <c r="H31" t="s">
        <v>31</v>
      </c>
      <c r="I31">
        <v>8.86</v>
      </c>
      <c r="J31">
        <f>400*0.25</f>
        <v>100</v>
      </c>
      <c r="K31">
        <f t="shared" si="3"/>
        <v>8.8599999999999998E-2</v>
      </c>
      <c r="M31" t="s">
        <v>84</v>
      </c>
    </row>
    <row r="32" spans="1:13" x14ac:dyDescent="0.3">
      <c r="A32" s="2" t="s">
        <v>11</v>
      </c>
      <c r="B32">
        <v>2012</v>
      </c>
      <c r="C32">
        <f>9.5/12</f>
        <v>0.79166666666666663</v>
      </c>
      <c r="D32">
        <f t="shared" si="1"/>
        <v>2012.7916666666667</v>
      </c>
      <c r="E32" t="s">
        <v>85</v>
      </c>
      <c r="F32" t="s">
        <v>147</v>
      </c>
      <c r="H32" t="s">
        <v>10</v>
      </c>
      <c r="I32">
        <v>0.36919999999999997</v>
      </c>
      <c r="J32">
        <v>113.38</v>
      </c>
      <c r="K32">
        <f t="shared" si="3"/>
        <v>3.2563062268477685E-3</v>
      </c>
      <c r="M32" t="s">
        <v>86</v>
      </c>
    </row>
    <row r="33" spans="1:13" x14ac:dyDescent="0.3">
      <c r="A33" s="2" t="s">
        <v>11</v>
      </c>
      <c r="B33">
        <v>2024</v>
      </c>
      <c r="C33">
        <f>11.5/12</f>
        <v>0.95833333333333337</v>
      </c>
      <c r="D33">
        <f t="shared" ref="D33:D48" si="4">SUM(B33:C33)</f>
        <v>2024.9583333333333</v>
      </c>
      <c r="E33" t="s">
        <v>12</v>
      </c>
      <c r="F33" t="s">
        <v>12</v>
      </c>
      <c r="H33" t="s">
        <v>31</v>
      </c>
      <c r="I33">
        <v>2</v>
      </c>
      <c r="J33">
        <f>340*0.35</f>
        <v>118.99999999999999</v>
      </c>
      <c r="K33">
        <f t="shared" si="3"/>
        <v>1.6806722689075633E-2</v>
      </c>
      <c r="M33" t="s">
        <v>87</v>
      </c>
    </row>
    <row r="34" spans="1:13" x14ac:dyDescent="0.3">
      <c r="A34" s="2" t="s">
        <v>11</v>
      </c>
      <c r="B34">
        <v>2024</v>
      </c>
      <c r="C34">
        <f>1.5/12</f>
        <v>0.125</v>
      </c>
      <c r="D34">
        <f t="shared" si="4"/>
        <v>2024.125</v>
      </c>
      <c r="E34" t="s">
        <v>100</v>
      </c>
      <c r="F34" t="s">
        <v>134</v>
      </c>
      <c r="H34" t="s">
        <v>31</v>
      </c>
      <c r="I34">
        <v>9.1</v>
      </c>
      <c r="J34">
        <v>167</v>
      </c>
      <c r="K34">
        <f t="shared" si="3"/>
        <v>5.4491017964071853E-2</v>
      </c>
      <c r="M34" s="1" t="s">
        <v>101</v>
      </c>
    </row>
    <row r="35" spans="1:13" x14ac:dyDescent="0.3">
      <c r="A35" s="2" t="s">
        <v>11</v>
      </c>
      <c r="B35">
        <v>2024</v>
      </c>
      <c r="C35">
        <f>5.5/12</f>
        <v>0.45833333333333331</v>
      </c>
      <c r="D35">
        <f t="shared" si="4"/>
        <v>2024.4583333333333</v>
      </c>
      <c r="E35" t="s">
        <v>158</v>
      </c>
      <c r="F35" t="s">
        <v>158</v>
      </c>
      <c r="H35" t="s">
        <v>31</v>
      </c>
      <c r="I35">
        <v>3.1</v>
      </c>
      <c r="J35">
        <f>424*0.25</f>
        <v>106</v>
      </c>
      <c r="K35">
        <f t="shared" si="3"/>
        <v>2.9245283018867925E-2</v>
      </c>
      <c r="M35" s="1" t="s">
        <v>159</v>
      </c>
    </row>
    <row r="36" spans="1:13" x14ac:dyDescent="0.3">
      <c r="A36" s="2" t="s">
        <v>11</v>
      </c>
      <c r="B36">
        <v>2025</v>
      </c>
      <c r="C36">
        <f>8.5/12</f>
        <v>0.70833333333333337</v>
      </c>
      <c r="D36">
        <f t="shared" si="4"/>
        <v>2025.7083333333333</v>
      </c>
      <c r="E36" t="s">
        <v>160</v>
      </c>
      <c r="F36" t="s">
        <v>160</v>
      </c>
      <c r="H36" t="s">
        <v>42</v>
      </c>
      <c r="I36">
        <v>6</v>
      </c>
      <c r="J36">
        <v>125</v>
      </c>
      <c r="K36">
        <f t="shared" si="3"/>
        <v>4.8000000000000001E-2</v>
      </c>
      <c r="M36" s="1" t="s">
        <v>161</v>
      </c>
    </row>
    <row r="37" spans="1:13" x14ac:dyDescent="0.3">
      <c r="A37" s="2" t="s">
        <v>11</v>
      </c>
      <c r="B37">
        <v>2022</v>
      </c>
      <c r="C37">
        <f>10.5/12</f>
        <v>0.875</v>
      </c>
      <c r="D37">
        <f t="shared" si="4"/>
        <v>2022.875</v>
      </c>
      <c r="E37" t="s">
        <v>162</v>
      </c>
      <c r="F37" t="s">
        <v>162</v>
      </c>
      <c r="H37" t="s">
        <v>10</v>
      </c>
      <c r="I37">
        <v>1.05</v>
      </c>
      <c r="J37">
        <f>270*0.25</f>
        <v>67.5</v>
      </c>
      <c r="K37">
        <f t="shared" si="3"/>
        <v>1.5555555555555557E-2</v>
      </c>
      <c r="M37" s="1" t="s">
        <v>163</v>
      </c>
    </row>
    <row r="38" spans="1:13" x14ac:dyDescent="0.3">
      <c r="A38" s="2" t="s">
        <v>11</v>
      </c>
      <c r="B38">
        <v>2022</v>
      </c>
      <c r="C38">
        <f>10.5/12</f>
        <v>0.875</v>
      </c>
      <c r="D38">
        <f t="shared" ref="D38" si="5">SUM(B38:C38)</f>
        <v>2022.875</v>
      </c>
      <c r="E38" t="s">
        <v>162</v>
      </c>
      <c r="F38" t="s">
        <v>162</v>
      </c>
      <c r="H38" t="s">
        <v>10</v>
      </c>
      <c r="I38">
        <v>2.33</v>
      </c>
      <c r="J38">
        <f>405*0.25</f>
        <v>101.25</v>
      </c>
      <c r="K38">
        <f t="shared" si="3"/>
        <v>2.3012345679012346E-2</v>
      </c>
      <c r="M38" s="1" t="s">
        <v>164</v>
      </c>
    </row>
    <row r="39" spans="1:13" x14ac:dyDescent="0.3">
      <c r="A39" s="2" t="s">
        <v>11</v>
      </c>
      <c r="B39">
        <v>2025</v>
      </c>
      <c r="C39">
        <f>5.5/12</f>
        <v>0.45833333333333331</v>
      </c>
      <c r="D39">
        <f>SUM(B39:C39)</f>
        <v>2025.4583333333333</v>
      </c>
      <c r="E39" t="s">
        <v>106</v>
      </c>
      <c r="F39" t="s">
        <v>106</v>
      </c>
      <c r="H39" t="s">
        <v>42</v>
      </c>
      <c r="I39">
        <v>0.63900000000000001</v>
      </c>
      <c r="J39">
        <f>58*0.35</f>
        <v>20.299999999999997</v>
      </c>
      <c r="K39">
        <f t="shared" si="3"/>
        <v>3.1477832512315278E-2</v>
      </c>
      <c r="M39" s="1" t="s">
        <v>165</v>
      </c>
    </row>
    <row r="40" spans="1:13" x14ac:dyDescent="0.3">
      <c r="A40" s="2" t="s">
        <v>11</v>
      </c>
      <c r="B40">
        <v>2026</v>
      </c>
      <c r="C40">
        <f>5.5/12</f>
        <v>0.45833333333333331</v>
      </c>
      <c r="D40">
        <f>SUM(B40:C40)</f>
        <v>2026.4583333333333</v>
      </c>
      <c r="E40" t="s">
        <v>12</v>
      </c>
      <c r="F40" t="s">
        <v>12</v>
      </c>
      <c r="H40" t="s">
        <v>10</v>
      </c>
      <c r="I40">
        <v>26.2</v>
      </c>
      <c r="K40">
        <v>0.96899999999999997</v>
      </c>
      <c r="M40" s="1" t="s">
        <v>166</v>
      </c>
    </row>
    <row r="41" spans="1:13" x14ac:dyDescent="0.3">
      <c r="A41" s="2" t="s">
        <v>11</v>
      </c>
      <c r="B41">
        <v>2026</v>
      </c>
      <c r="C41">
        <f>2.5/12</f>
        <v>0.20833333333333334</v>
      </c>
      <c r="D41">
        <f>SUM(B41:C41)</f>
        <v>2026.2083333333333</v>
      </c>
      <c r="E41" t="s">
        <v>162</v>
      </c>
      <c r="F41" t="s">
        <v>162</v>
      </c>
      <c r="I41">
        <v>1.04</v>
      </c>
      <c r="K41">
        <v>0.84</v>
      </c>
      <c r="M41" s="1" t="s">
        <v>167</v>
      </c>
    </row>
    <row r="42" spans="1:13" ht="15.6" x14ac:dyDescent="0.3">
      <c r="A42" s="10" t="s">
        <v>157</v>
      </c>
      <c r="B42">
        <v>2010</v>
      </c>
      <c r="C42">
        <f>10.5/12</f>
        <v>0.875</v>
      </c>
      <c r="D42">
        <f t="shared" si="4"/>
        <v>2010.875</v>
      </c>
      <c r="E42" t="s">
        <v>39</v>
      </c>
      <c r="F42" t="s">
        <v>140</v>
      </c>
      <c r="H42" t="s">
        <v>31</v>
      </c>
      <c r="I42">
        <v>5.0999999999999996</v>
      </c>
      <c r="J42">
        <v>24.6</v>
      </c>
      <c r="K42">
        <f t="shared" ref="K42:K45" si="6">I42/J42</f>
        <v>0.20731707317073167</v>
      </c>
      <c r="M42" s="1" t="s">
        <v>123</v>
      </c>
    </row>
    <row r="43" spans="1:13" ht="15.6" x14ac:dyDescent="0.3">
      <c r="A43" s="10" t="s">
        <v>157</v>
      </c>
      <c r="B43">
        <v>2007</v>
      </c>
      <c r="C43">
        <f>6.5/12</f>
        <v>0.54166666666666663</v>
      </c>
      <c r="D43">
        <f t="shared" si="4"/>
        <v>2007.5416666666667</v>
      </c>
      <c r="E43" t="s">
        <v>39</v>
      </c>
      <c r="F43" t="s">
        <v>140</v>
      </c>
      <c r="H43" t="s">
        <v>31</v>
      </c>
      <c r="I43">
        <v>0.38500000000000001</v>
      </c>
      <c r="J43">
        <v>60</v>
      </c>
      <c r="K43">
        <f t="shared" si="6"/>
        <v>6.4166666666666669E-3</v>
      </c>
      <c r="M43" s="1" t="s">
        <v>124</v>
      </c>
    </row>
    <row r="44" spans="1:13" ht="15.6" x14ac:dyDescent="0.3">
      <c r="A44" s="10" t="s">
        <v>157</v>
      </c>
      <c r="B44">
        <v>1999</v>
      </c>
      <c r="C44">
        <f>4.5/12</f>
        <v>0.375</v>
      </c>
      <c r="D44">
        <f t="shared" si="4"/>
        <v>1999.375</v>
      </c>
      <c r="E44" t="s">
        <v>126</v>
      </c>
      <c r="F44" t="s">
        <v>126</v>
      </c>
      <c r="H44" t="s">
        <v>10</v>
      </c>
      <c r="I44">
        <v>13.49</v>
      </c>
      <c r="J44">
        <v>125</v>
      </c>
      <c r="K44">
        <f t="shared" si="6"/>
        <v>0.10792</v>
      </c>
      <c r="M44" s="1" t="s">
        <v>125</v>
      </c>
    </row>
    <row r="45" spans="1:13" ht="15.6" x14ac:dyDescent="0.3">
      <c r="A45" s="10" t="s">
        <v>157</v>
      </c>
      <c r="B45">
        <v>2012</v>
      </c>
      <c r="C45">
        <f>11.5/12</f>
        <v>0.95833333333333337</v>
      </c>
      <c r="D45">
        <f t="shared" si="4"/>
        <v>2012.9583333333333</v>
      </c>
      <c r="E45" t="s">
        <v>127</v>
      </c>
      <c r="F45" t="s">
        <v>127</v>
      </c>
      <c r="H45" t="s">
        <v>31</v>
      </c>
      <c r="I45">
        <v>1.109</v>
      </c>
      <c r="J45">
        <v>127.8</v>
      </c>
      <c r="K45">
        <f t="shared" si="6"/>
        <v>8.677621283255086E-3</v>
      </c>
      <c r="M45" s="1" t="s">
        <v>128</v>
      </c>
    </row>
    <row r="46" spans="1:13" ht="15.6" x14ac:dyDescent="0.3">
      <c r="A46" s="10" t="s">
        <v>157</v>
      </c>
      <c r="B46">
        <v>2016</v>
      </c>
      <c r="C46">
        <f>4.5/12</f>
        <v>0.375</v>
      </c>
      <c r="D46">
        <f t="shared" si="4"/>
        <v>2016.375</v>
      </c>
      <c r="E46" t="s">
        <v>129</v>
      </c>
      <c r="F46" t="s">
        <v>129</v>
      </c>
      <c r="H46" t="s">
        <v>10</v>
      </c>
      <c r="K46">
        <f>244.5*52000/1000000000</f>
        <v>1.2714E-2</v>
      </c>
      <c r="M46" s="1" t="s">
        <v>130</v>
      </c>
    </row>
    <row r="47" spans="1:13" x14ac:dyDescent="0.3">
      <c r="A47" t="s">
        <v>0</v>
      </c>
      <c r="B47">
        <v>1996</v>
      </c>
      <c r="C47">
        <f>6.5/12</f>
        <v>0.54166666666666663</v>
      </c>
      <c r="D47">
        <f t="shared" si="4"/>
        <v>1996.5416666666667</v>
      </c>
      <c r="E47" t="s">
        <v>6</v>
      </c>
      <c r="F47" t="s">
        <v>88</v>
      </c>
      <c r="H47" t="s">
        <v>10</v>
      </c>
      <c r="I47">
        <v>3.5</v>
      </c>
      <c r="J47">
        <v>90</v>
      </c>
      <c r="K47">
        <f>I47/J47</f>
        <v>3.888888888888889E-2</v>
      </c>
      <c r="M47" s="1" t="s">
        <v>5</v>
      </c>
    </row>
    <row r="48" spans="1:13" x14ac:dyDescent="0.3">
      <c r="A48" t="s">
        <v>0</v>
      </c>
      <c r="B48">
        <v>2002</v>
      </c>
      <c r="C48">
        <f>5.5/12</f>
        <v>0.45833333333333331</v>
      </c>
      <c r="D48">
        <f t="shared" si="4"/>
        <v>2002.4583333333333</v>
      </c>
      <c r="E48" t="s">
        <v>97</v>
      </c>
      <c r="F48" t="s">
        <v>148</v>
      </c>
      <c r="H48" t="s">
        <v>10</v>
      </c>
      <c r="I48">
        <v>1.2E-2</v>
      </c>
      <c r="J48">
        <f>150*0.25</f>
        <v>37.5</v>
      </c>
      <c r="K48">
        <f>I48/J48</f>
        <v>3.2000000000000003E-4</v>
      </c>
      <c r="M48" t="s">
        <v>98</v>
      </c>
    </row>
    <row r="49" spans="1:13" x14ac:dyDescent="0.3">
      <c r="A49" t="s">
        <v>0</v>
      </c>
      <c r="B49">
        <v>2004</v>
      </c>
      <c r="C49">
        <f>6.5/12</f>
        <v>0.54166666666666663</v>
      </c>
      <c r="D49">
        <f t="shared" ref="D49" si="7">SUM(B49:C49)</f>
        <v>2004.5416666666667</v>
      </c>
      <c r="E49" t="s">
        <v>99</v>
      </c>
      <c r="F49" t="s">
        <v>149</v>
      </c>
      <c r="H49" t="s">
        <v>31</v>
      </c>
      <c r="I49">
        <v>8.6999999999999994E-2</v>
      </c>
      <c r="J49">
        <v>24</v>
      </c>
      <c r="K49">
        <f>I49/J49</f>
        <v>3.6249999999999998E-3</v>
      </c>
      <c r="M49" s="1" t="s">
        <v>121</v>
      </c>
    </row>
    <row r="50" spans="1:13" x14ac:dyDescent="0.3">
      <c r="A50" t="s">
        <v>35</v>
      </c>
      <c r="B50">
        <v>2022</v>
      </c>
      <c r="C50">
        <f>2.5/12</f>
        <v>0.20833333333333334</v>
      </c>
      <c r="D50">
        <f>SUM(B50:C50)</f>
        <v>2022.2083333333333</v>
      </c>
      <c r="E50" s="4" t="s">
        <v>36</v>
      </c>
      <c r="F50" s="4" t="s">
        <v>36</v>
      </c>
      <c r="H50" t="s">
        <v>31</v>
      </c>
      <c r="I50">
        <v>0.53</v>
      </c>
      <c r="J50">
        <v>100</v>
      </c>
      <c r="K50">
        <f>I50/J50</f>
        <v>5.3E-3</v>
      </c>
      <c r="M50" s="1" t="s">
        <v>37</v>
      </c>
    </row>
    <row r="51" spans="1:13" x14ac:dyDescent="0.3">
      <c r="A51" t="s">
        <v>35</v>
      </c>
      <c r="B51">
        <v>2018</v>
      </c>
      <c r="C51">
        <f>10.5/12</f>
        <v>0.875</v>
      </c>
      <c r="D51">
        <f>SUM(B51:C51)</f>
        <v>2018.875</v>
      </c>
      <c r="E51" t="s">
        <v>88</v>
      </c>
      <c r="F51" t="s">
        <v>88</v>
      </c>
      <c r="H51" t="s">
        <v>31</v>
      </c>
      <c r="I51" s="6">
        <v>2.5</v>
      </c>
      <c r="J51" s="6">
        <v>98.5</v>
      </c>
      <c r="K51">
        <f>I51/J51</f>
        <v>2.5380710659898477E-2</v>
      </c>
      <c r="M51" t="s">
        <v>89</v>
      </c>
    </row>
    <row r="52" spans="1:13" x14ac:dyDescent="0.3">
      <c r="A52" t="s">
        <v>35</v>
      </c>
      <c r="B52">
        <v>2000</v>
      </c>
      <c r="C52">
        <f>1.5/12</f>
        <v>0.125</v>
      </c>
      <c r="D52">
        <f>SUM(B52:C52)</f>
        <v>2000.125</v>
      </c>
      <c r="E52" t="s">
        <v>12</v>
      </c>
      <c r="F52" t="s">
        <v>12</v>
      </c>
      <c r="H52" t="s">
        <v>31</v>
      </c>
      <c r="K52">
        <f>0.0093/0.4</f>
        <v>2.3249999999999996E-2</v>
      </c>
      <c r="M52" s="1" t="s">
        <v>90</v>
      </c>
    </row>
    <row r="53" spans="1:13" x14ac:dyDescent="0.3">
      <c r="A53" t="s">
        <v>35</v>
      </c>
      <c r="B53">
        <v>2013</v>
      </c>
      <c r="C53">
        <f>11.5/12</f>
        <v>0.95833333333333337</v>
      </c>
      <c r="D53">
        <f t="shared" ref="D53:D57" si="8">SUM(B53:C53)</f>
        <v>2013.9583333333333</v>
      </c>
      <c r="E53" t="s">
        <v>88</v>
      </c>
      <c r="F53" t="s">
        <v>88</v>
      </c>
      <c r="H53" t="s">
        <v>31</v>
      </c>
      <c r="K53">
        <v>1.4E-2</v>
      </c>
      <c r="M53" t="s">
        <v>91</v>
      </c>
    </row>
    <row r="54" spans="1:13" x14ac:dyDescent="0.3">
      <c r="A54" t="s">
        <v>35</v>
      </c>
      <c r="B54">
        <v>2012</v>
      </c>
      <c r="C54">
        <f>11.5/12</f>
        <v>0.95833333333333337</v>
      </c>
      <c r="D54">
        <f t="shared" si="8"/>
        <v>2012.9583333333333</v>
      </c>
      <c r="E54" s="4" t="s">
        <v>92</v>
      </c>
      <c r="F54" s="4" t="s">
        <v>150</v>
      </c>
      <c r="H54" t="s">
        <v>31</v>
      </c>
      <c r="K54">
        <v>4.0000000000000001E-3</v>
      </c>
      <c r="M54" t="s">
        <v>91</v>
      </c>
    </row>
    <row r="55" spans="1:13" x14ac:dyDescent="0.3">
      <c r="A55" t="s">
        <v>35</v>
      </c>
      <c r="B55">
        <v>2024</v>
      </c>
      <c r="C55">
        <f>7.5/12</f>
        <v>0.625</v>
      </c>
      <c r="D55">
        <f t="shared" si="8"/>
        <v>2024.625</v>
      </c>
      <c r="E55" s="8" t="s">
        <v>93</v>
      </c>
      <c r="F55" s="7" t="s">
        <v>93</v>
      </c>
      <c r="H55" t="s">
        <v>31</v>
      </c>
      <c r="I55">
        <v>0.11600000000000001</v>
      </c>
      <c r="J55">
        <f>225*0.23</f>
        <v>51.75</v>
      </c>
      <c r="K55">
        <v>4.0000000000000001E-3</v>
      </c>
      <c r="M55" s="1" t="s">
        <v>94</v>
      </c>
    </row>
    <row r="56" spans="1:13" x14ac:dyDescent="0.3">
      <c r="A56" t="s">
        <v>35</v>
      </c>
      <c r="B56">
        <v>2016</v>
      </c>
      <c r="C56">
        <f>5.5/12</f>
        <v>0.45833333333333331</v>
      </c>
      <c r="D56">
        <f t="shared" si="8"/>
        <v>2016.4583333333333</v>
      </c>
      <c r="E56" t="s">
        <v>95</v>
      </c>
      <c r="F56" t="s">
        <v>95</v>
      </c>
      <c r="H56" t="s">
        <v>31</v>
      </c>
      <c r="K56">
        <f>0.0002027/0.23</f>
        <v>8.8130434782608691E-4</v>
      </c>
      <c r="M56" s="1" t="s">
        <v>96</v>
      </c>
    </row>
    <row r="57" spans="1:13" x14ac:dyDescent="0.3">
      <c r="A57" t="s">
        <v>35</v>
      </c>
      <c r="B57">
        <v>2026</v>
      </c>
      <c r="C57">
        <f>1.5/12</f>
        <v>0.125</v>
      </c>
      <c r="D57">
        <f t="shared" si="8"/>
        <v>2026.125</v>
      </c>
      <c r="E57" t="s">
        <v>88</v>
      </c>
      <c r="F57" t="s">
        <v>88</v>
      </c>
      <c r="H57" t="s">
        <v>31</v>
      </c>
      <c r="I57">
        <v>6.6</v>
      </c>
      <c r="K57">
        <f>6.6/(120*4.93/7.79)</f>
        <v>8.6906693711967561E-2</v>
      </c>
      <c r="M57" s="1"/>
    </row>
    <row r="58" spans="1:13" x14ac:dyDescent="0.3">
      <c r="A58" t="s">
        <v>102</v>
      </c>
      <c r="B58">
        <v>2022</v>
      </c>
      <c r="C58">
        <f>6.5/12</f>
        <v>0.54166666666666663</v>
      </c>
      <c r="D58">
        <f t="shared" ref="D58" si="9">SUM(B58:C58)</f>
        <v>2022.5416666666667</v>
      </c>
      <c r="E58" s="8" t="s">
        <v>103</v>
      </c>
      <c r="F58" s="8" t="s">
        <v>151</v>
      </c>
      <c r="H58" t="s">
        <v>31</v>
      </c>
      <c r="K58">
        <f>0.000349/0.35</f>
        <v>9.9714285714285725E-4</v>
      </c>
      <c r="M58" s="1" t="s">
        <v>104</v>
      </c>
    </row>
    <row r="59" spans="1:13" x14ac:dyDescent="0.3">
      <c r="A59" t="s">
        <v>105</v>
      </c>
      <c r="B59">
        <v>2013</v>
      </c>
      <c r="C59">
        <f>7.5/12</f>
        <v>0.625</v>
      </c>
      <c r="D59">
        <f t="shared" ref="D59:D65" si="10">SUM(B59:C59)</f>
        <v>2013.625</v>
      </c>
      <c r="E59" t="s">
        <v>106</v>
      </c>
      <c r="F59" t="s">
        <v>106</v>
      </c>
      <c r="H59" t="s">
        <v>31</v>
      </c>
      <c r="I59">
        <v>0.104</v>
      </c>
      <c r="J59">
        <f>40*0.51</f>
        <v>20.399999999999999</v>
      </c>
      <c r="K59">
        <f>I59/J59</f>
        <v>5.0980392156862748E-3</v>
      </c>
      <c r="M59" s="1" t="s">
        <v>107</v>
      </c>
    </row>
    <row r="60" spans="1:13" x14ac:dyDescent="0.3">
      <c r="A60" t="s">
        <v>105</v>
      </c>
      <c r="B60">
        <v>2014</v>
      </c>
      <c r="C60">
        <f>11.5/12</f>
        <v>0.95833333333333337</v>
      </c>
      <c r="D60">
        <f t="shared" si="10"/>
        <v>2014.9583333333333</v>
      </c>
      <c r="E60" t="s">
        <v>112</v>
      </c>
      <c r="F60" t="s">
        <v>134</v>
      </c>
      <c r="H60" t="s">
        <v>31</v>
      </c>
      <c r="I60">
        <v>0.23699999999999999</v>
      </c>
      <c r="J60">
        <f>40*0.51</f>
        <v>20.399999999999999</v>
      </c>
      <c r="K60">
        <f t="shared" ref="K60:K65" si="11">I60/J60</f>
        <v>1.1617647058823529E-2</v>
      </c>
      <c r="M60" s="1" t="s">
        <v>113</v>
      </c>
    </row>
    <row r="61" spans="1:13" x14ac:dyDescent="0.3">
      <c r="A61" t="s">
        <v>105</v>
      </c>
      <c r="B61">
        <v>2004</v>
      </c>
      <c r="C61">
        <f>11.5/12</f>
        <v>0.95833333333333337</v>
      </c>
      <c r="D61">
        <f t="shared" si="10"/>
        <v>2004.9583333333333</v>
      </c>
      <c r="E61" t="s">
        <v>114</v>
      </c>
      <c r="F61" t="s">
        <v>151</v>
      </c>
      <c r="H61" t="s">
        <v>31</v>
      </c>
      <c r="I61">
        <v>0.1</v>
      </c>
      <c r="J61">
        <f>20*0.51</f>
        <v>10.199999999999999</v>
      </c>
      <c r="K61">
        <f t="shared" si="11"/>
        <v>9.8039215686274526E-3</v>
      </c>
      <c r="M61" s="1" t="s">
        <v>115</v>
      </c>
    </row>
    <row r="62" spans="1:13" x14ac:dyDescent="0.3">
      <c r="A62" t="s">
        <v>105</v>
      </c>
      <c r="B62">
        <v>1997</v>
      </c>
      <c r="C62">
        <f>7.5/12</f>
        <v>0.625</v>
      </c>
      <c r="D62">
        <f t="shared" si="10"/>
        <v>1997.625</v>
      </c>
      <c r="E62" t="s">
        <v>116</v>
      </c>
      <c r="F62" t="s">
        <v>152</v>
      </c>
      <c r="H62" t="s">
        <v>31</v>
      </c>
      <c r="I62">
        <v>0.13</v>
      </c>
      <c r="J62">
        <f>20*0.51</f>
        <v>10.199999999999999</v>
      </c>
      <c r="K62">
        <f t="shared" si="11"/>
        <v>1.2745098039215688E-2</v>
      </c>
      <c r="M62" s="1" t="s">
        <v>117</v>
      </c>
    </row>
    <row r="63" spans="1:13" x14ac:dyDescent="0.3">
      <c r="A63" t="s">
        <v>108</v>
      </c>
      <c r="B63">
        <v>1991</v>
      </c>
      <c r="C63">
        <f>9.5/12</f>
        <v>0.79166666666666663</v>
      </c>
      <c r="D63">
        <f t="shared" si="10"/>
        <v>1991.7916666666667</v>
      </c>
      <c r="E63" t="s">
        <v>39</v>
      </c>
      <c r="F63" t="s">
        <v>140</v>
      </c>
      <c r="H63" t="s">
        <v>31</v>
      </c>
      <c r="I63">
        <v>0.29599999999999999</v>
      </c>
      <c r="J63">
        <v>8</v>
      </c>
      <c r="K63">
        <f t="shared" si="11"/>
        <v>3.6999999999999998E-2</v>
      </c>
      <c r="M63" s="1" t="s">
        <v>119</v>
      </c>
    </row>
    <row r="64" spans="1:13" x14ac:dyDescent="0.3">
      <c r="A64" t="s">
        <v>108</v>
      </c>
      <c r="B64">
        <v>1994</v>
      </c>
      <c r="C64">
        <f>9.5/12</f>
        <v>0.79166666666666663</v>
      </c>
      <c r="D64">
        <f t="shared" si="10"/>
        <v>1994.7916666666667</v>
      </c>
      <c r="E64" t="s">
        <v>39</v>
      </c>
      <c r="F64" t="s">
        <v>140</v>
      </c>
      <c r="H64" t="s">
        <v>10</v>
      </c>
      <c r="I64">
        <v>6.2E-2</v>
      </c>
      <c r="J64">
        <v>35</v>
      </c>
      <c r="K64">
        <f t="shared" si="11"/>
        <v>1.7714285714285714E-3</v>
      </c>
      <c r="M64" s="1" t="s">
        <v>120</v>
      </c>
    </row>
    <row r="65" spans="1:13" ht="15.6" x14ac:dyDescent="0.3">
      <c r="A65" s="10" t="s">
        <v>153</v>
      </c>
      <c r="B65">
        <v>2025</v>
      </c>
      <c r="C65">
        <f>11.5/12</f>
        <v>0.95833333333333337</v>
      </c>
      <c r="D65">
        <f t="shared" si="10"/>
        <v>2025.9583333333333</v>
      </c>
      <c r="E65" t="s">
        <v>154</v>
      </c>
      <c r="F65" t="s">
        <v>154</v>
      </c>
      <c r="H65" t="s">
        <v>31</v>
      </c>
      <c r="I65">
        <v>3.456</v>
      </c>
      <c r="J65">
        <f>316.3*0.35</f>
        <v>110.705</v>
      </c>
      <c r="K65">
        <f t="shared" si="11"/>
        <v>3.1218102163407254E-2</v>
      </c>
    </row>
    <row r="71" spans="1:13" x14ac:dyDescent="0.3">
      <c r="A71" t="s">
        <v>131</v>
      </c>
      <c r="M71" t="s">
        <v>132</v>
      </c>
    </row>
    <row r="79" spans="1:13" x14ac:dyDescent="0.3">
      <c r="A79" t="s">
        <v>108</v>
      </c>
      <c r="B79">
        <v>2024</v>
      </c>
      <c r="C79">
        <f>2.5/12</f>
        <v>0.20833333333333334</v>
      </c>
      <c r="D79">
        <f>SUM(B79:C79)</f>
        <v>2024.2083333333333</v>
      </c>
      <c r="E79" t="s">
        <v>6</v>
      </c>
      <c r="H79" t="s">
        <v>10</v>
      </c>
      <c r="I79">
        <v>16.8</v>
      </c>
      <c r="M79" s="1" t="s">
        <v>118</v>
      </c>
    </row>
    <row r="80" spans="1:13" x14ac:dyDescent="0.3">
      <c r="A80" s="9" t="s">
        <v>108</v>
      </c>
      <c r="I80">
        <v>0.08</v>
      </c>
      <c r="M80" t="s">
        <v>111</v>
      </c>
    </row>
    <row r="81" spans="1:13" ht="28.8" x14ac:dyDescent="0.3">
      <c r="A81" s="2" t="s">
        <v>11</v>
      </c>
      <c r="B81">
        <v>2023</v>
      </c>
      <c r="E81" t="s">
        <v>12</v>
      </c>
      <c r="H81" t="s">
        <v>10</v>
      </c>
      <c r="I81">
        <v>3.7</v>
      </c>
      <c r="M81" s="3" t="s">
        <v>63</v>
      </c>
    </row>
    <row r="82" spans="1:13" x14ac:dyDescent="0.3">
      <c r="A82" s="2" t="s">
        <v>11</v>
      </c>
      <c r="B82">
        <v>2025</v>
      </c>
      <c r="E82" t="s">
        <v>16</v>
      </c>
      <c r="L82" t="s">
        <v>15</v>
      </c>
      <c r="M82" s="1" t="s">
        <v>17</v>
      </c>
    </row>
    <row r="83" spans="1:13" x14ac:dyDescent="0.3">
      <c r="A83" s="2" t="s">
        <v>11</v>
      </c>
      <c r="B83">
        <v>2015</v>
      </c>
      <c r="E83" s="4" t="s">
        <v>68</v>
      </c>
      <c r="F83" s="4"/>
      <c r="H83" t="s">
        <v>31</v>
      </c>
      <c r="I83">
        <v>0.2</v>
      </c>
      <c r="M83" t="s">
        <v>69</v>
      </c>
    </row>
    <row r="84" spans="1:13" x14ac:dyDescent="0.3">
      <c r="A84" s="2" t="s">
        <v>11</v>
      </c>
      <c r="B84">
        <v>1997</v>
      </c>
      <c r="E84" t="s">
        <v>66</v>
      </c>
      <c r="H84" t="s">
        <v>10</v>
      </c>
      <c r="I84">
        <v>0.2</v>
      </c>
      <c r="M84" t="s">
        <v>70</v>
      </c>
    </row>
    <row r="85" spans="1:13" x14ac:dyDescent="0.3">
      <c r="A85" t="s">
        <v>105</v>
      </c>
      <c r="B85">
        <v>1991</v>
      </c>
      <c r="C85">
        <f>7.5/12</f>
        <v>0.625</v>
      </c>
      <c r="D85">
        <f>SUM(B85:C85)</f>
        <v>1991.625</v>
      </c>
      <c r="E85" t="s">
        <v>110</v>
      </c>
    </row>
    <row r="86" spans="1:13" x14ac:dyDescent="0.3">
      <c r="A86" t="s">
        <v>108</v>
      </c>
      <c r="B86">
        <v>1993</v>
      </c>
      <c r="C86">
        <f>10.5/12</f>
        <v>0.875</v>
      </c>
      <c r="D86">
        <f t="shared" ref="D86" si="12">SUM(B86:C86)</f>
        <v>1993.875</v>
      </c>
      <c r="E86" t="s">
        <v>109</v>
      </c>
    </row>
  </sheetData>
  <autoFilter ref="A1:M65" xr:uid="{00000000-0001-0000-0000-000000000000}"/>
  <hyperlinks>
    <hyperlink ref="M47" r:id="rId1" xr:uid="{2C6F6E23-ECE2-48FD-9281-2D99D7593433}"/>
    <hyperlink ref="M81" r:id="rId2" location="Sec2234" xr:uid="{62C0EF63-5AB8-4BA9-8B91-BED051CAB1BF}"/>
    <hyperlink ref="M82" r:id="rId3" xr:uid="{B20578A3-8323-4DE4-85AE-68D7FF9E102B}"/>
    <hyperlink ref="M2" r:id="rId4" location="Sec2" xr:uid="{E3E93F9E-DE58-4D08-B99F-BCC6036F7008}"/>
    <hyperlink ref="M3" r:id="rId5" xr:uid="{D9A4AF65-DA70-469D-830F-18C855356D90}"/>
    <hyperlink ref="M4" r:id="rId6" xr:uid="{B12BC68D-68E4-4106-B5E4-E526B322A8A6}"/>
    <hyperlink ref="M5" r:id="rId7" xr:uid="{C7D2CE6E-F6BF-4BE6-9A7D-EA2BF2ED9BDC}"/>
    <hyperlink ref="M7" r:id="rId8" xr:uid="{166345B4-37E9-4B97-B447-808A262A1B36}"/>
    <hyperlink ref="M10" r:id="rId9" xr:uid="{93094C1F-86C4-479B-A910-DD6AFB82D503}"/>
    <hyperlink ref="M12" r:id="rId10" location="Sec2" xr:uid="{59DDDE24-95D8-40AE-9783-25CE0BE413CC}"/>
    <hyperlink ref="M13" r:id="rId11" xr:uid="{062E1078-F054-43F6-B300-D90A0602E212}"/>
    <hyperlink ref="M9" r:id="rId12" xr:uid="{5970B801-C8F2-47BB-B71A-2D27AC908E25}"/>
    <hyperlink ref="M14" r:id="rId13" location="Sec12" xr:uid="{88C84AA7-4D62-45F0-9D5C-1687452242EB}"/>
    <hyperlink ref="M15" r:id="rId14" location="pone-0119833-g001" xr:uid="{E98B5E85-63E2-4DB6-B1D8-2588794F6537}"/>
    <hyperlink ref="M16" r:id="rId15" xr:uid="{8856A68A-C212-41E0-B628-97265D0D6959}"/>
    <hyperlink ref="M17" r:id="rId16" xr:uid="{E9697F61-04C3-41F0-933B-C04748BC2DF0}"/>
    <hyperlink ref="M21" r:id="rId17" xr:uid="{88300638-E70A-4665-A778-A11B12BBE412}"/>
    <hyperlink ref="M22" r:id="rId18" xr:uid="{4BBE9CEE-1A95-4C9F-BA98-A77352596BEF}"/>
    <hyperlink ref="M26" r:id="rId19" xr:uid="{70357272-FC8A-48DB-A939-3E8308421CEE}"/>
    <hyperlink ref="M27" r:id="rId20" xr:uid="{10646D1B-0DD7-44BF-9DF5-3893DF4F8E3F}"/>
    <hyperlink ref="M28" r:id="rId21" xr:uid="{C6570048-73A2-4102-9FCE-90A435D0A759}"/>
    <hyperlink ref="M29" r:id="rId22" xr:uid="{85047F72-FEC7-452F-AAA3-E769DE7B3BDA}"/>
    <hyperlink ref="M25" r:id="rId23" xr:uid="{32359A7F-2D96-452D-B154-320C581B3E55}"/>
    <hyperlink ref="M24" r:id="rId24" xr:uid="{C23DE3F0-647D-46B2-83D6-B1B0051F30F9}"/>
    <hyperlink ref="M23" r:id="rId25" xr:uid="{3C0C0F02-2658-43C0-B1CF-284AE3DF970E}"/>
    <hyperlink ref="M19" r:id="rId26" xr:uid="{D0B28732-695C-4F84-AC2B-9EBB2B4F2006}"/>
    <hyperlink ref="M18" r:id="rId27" location="MOESM1" xr:uid="{CA6D8A5F-8374-44C5-9DA1-2B30990323F0}"/>
    <hyperlink ref="M11" r:id="rId28" xr:uid="{F4B38A8C-4738-4863-988E-62EDE0DDB3C8}"/>
    <hyperlink ref="M8" r:id="rId29" xr:uid="{EB34F27E-0B05-4195-B7F0-D388A7AD2D27}"/>
    <hyperlink ref="M6" r:id="rId30" xr:uid="{15DB38CB-6521-44E4-B260-EDC4586943ED}"/>
    <hyperlink ref="M50" r:id="rId31" location="Sec2" xr:uid="{235DA6CA-59BB-493F-AE3F-01F1CACCC335}"/>
    <hyperlink ref="M52" r:id="rId32" location="BIB8" xr:uid="{93BE3110-5F69-4CA6-9551-CCF063F7F511}"/>
    <hyperlink ref="M55" r:id="rId33" xr:uid="{1DFC047B-89FD-4940-B346-4D1719C84B8D}"/>
    <hyperlink ref="M56" r:id="rId34" location="Sec11" xr:uid="{CF173C6B-1889-4F7C-B611-E21261B20B04}"/>
    <hyperlink ref="M34" r:id="rId35" xr:uid="{1D1CA4DD-57EB-4FDA-B205-CD4F57860135}"/>
    <hyperlink ref="M58" r:id="rId36" xr:uid="{5E0A0525-EF60-4BC3-816C-A0AF61B86230}"/>
    <hyperlink ref="M59" r:id="rId37" xr:uid="{FBA91335-F556-49C3-8074-1B1FB90338FD}"/>
    <hyperlink ref="M61" r:id="rId38" xr:uid="{1BA0974D-F2A5-4829-A486-BF96B8249301}"/>
    <hyperlink ref="M79" r:id="rId39" xr:uid="{5A113D17-20D4-4ECC-A635-501B5C41F205}"/>
    <hyperlink ref="M63" r:id="rId40" xr:uid="{FF006124-F785-4CEA-AFB9-38325E6F1CED}"/>
    <hyperlink ref="M64" r:id="rId41" xr:uid="{64B6CE76-216E-455F-B948-EF8356A331AA}"/>
    <hyperlink ref="M49" r:id="rId42" xr:uid="{497E408F-53E2-49B7-8F16-9DD7EA2ED202}"/>
    <hyperlink ref="M43" r:id="rId43" location="sec2" xr:uid="{5034959D-6751-4851-84E0-172E272F75EE}"/>
    <hyperlink ref="M45" r:id="rId44" xr:uid="{B7EB3734-AC4C-4151-A101-96D04051FDCD}"/>
    <hyperlink ref="M46" r:id="rId45" xr:uid="{C91CD542-20C8-4FDA-BF4B-40DD95619963}"/>
    <hyperlink ref="M42" r:id="rId46" location=":~:text=To%20comply%20with%20this%20purpose,protein%20production%20in%20microbial%20fermentations." xr:uid="{1A9C7341-CCC1-4312-91A0-12EA871608D9}"/>
    <hyperlink ref="M44" r:id="rId47" xr:uid="{AA476111-326A-4868-8FB2-D9580E4ACE47}"/>
    <hyperlink ref="M35" r:id="rId48" xr:uid="{A35E98C5-C6A9-4A33-A079-EEED0DDD2B60}"/>
    <hyperlink ref="M36" r:id="rId49" location="fig0020" xr:uid="{0D4AA659-B49F-4D5C-9A30-E24621D94128}"/>
    <hyperlink ref="M37" r:id="rId50" location="Sec18" xr:uid="{FFBE9CB1-C680-4B2B-81BA-60FEBB39DFC0}"/>
    <hyperlink ref="M38" r:id="rId51" xr:uid="{1E73E7CA-B3FA-42E4-8201-C4C4BE351D65}"/>
    <hyperlink ref="M39" r:id="rId52" xr:uid="{12F65439-1071-4B8F-8FE6-E6BFC3AAEEAE}"/>
  </hyperlinks>
  <pageMargins left="0.7" right="0.7" top="0.75" bottom="0.75" header="0.3" footer="0.3"/>
  <pageSetup orientation="portrait" r:id="rId5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20FB2-68EF-4AA1-8512-D32CFAF57F09}">
  <dimension ref="A1:E78"/>
  <sheetViews>
    <sheetView showGridLines="0" topLeftCell="A51" workbookViewId="0">
      <selection sqref="A1:E57"/>
    </sheetView>
  </sheetViews>
  <sheetFormatPr defaultRowHeight="14.4" x14ac:dyDescent="0.3"/>
  <cols>
    <col min="1" max="1" width="20.88671875" customWidth="1"/>
    <col min="3" max="3" width="14.88671875" customWidth="1"/>
  </cols>
  <sheetData>
    <row r="1" spans="1:5" x14ac:dyDescent="0.3">
      <c r="A1" t="s">
        <v>1</v>
      </c>
      <c r="B1" t="s">
        <v>155</v>
      </c>
      <c r="C1" t="s">
        <v>2</v>
      </c>
      <c r="D1" t="s">
        <v>3</v>
      </c>
      <c r="E1" t="s">
        <v>156</v>
      </c>
    </row>
    <row r="2" spans="1:5" x14ac:dyDescent="0.3">
      <c r="A2" s="2" t="s">
        <v>11</v>
      </c>
      <c r="B2">
        <v>2012.7916666666667</v>
      </c>
      <c r="C2" s="4" t="s">
        <v>133</v>
      </c>
      <c r="D2" t="s">
        <v>21</v>
      </c>
      <c r="E2">
        <v>2.4161073825503358E-2</v>
      </c>
    </row>
    <row r="3" spans="1:5" x14ac:dyDescent="0.3">
      <c r="A3" s="2" t="s">
        <v>11</v>
      </c>
      <c r="B3">
        <v>2002.2083333333333</v>
      </c>
      <c r="C3" t="s">
        <v>134</v>
      </c>
      <c r="D3" t="s">
        <v>10</v>
      </c>
      <c r="E3">
        <v>9.4936708860759497E-3</v>
      </c>
    </row>
    <row r="4" spans="1:5" x14ac:dyDescent="0.3">
      <c r="A4" s="2" t="s">
        <v>11</v>
      </c>
      <c r="B4">
        <v>1999.2083333333333</v>
      </c>
      <c r="C4" t="s">
        <v>24</v>
      </c>
      <c r="D4" t="s">
        <v>10</v>
      </c>
      <c r="E4">
        <v>4.2999999999999997E-2</v>
      </c>
    </row>
    <row r="5" spans="1:5" x14ac:dyDescent="0.3">
      <c r="A5" s="2" t="s">
        <v>11</v>
      </c>
      <c r="B5">
        <v>2015.2916666666667</v>
      </c>
      <c r="C5" t="s">
        <v>134</v>
      </c>
      <c r="D5" t="s">
        <v>10</v>
      </c>
      <c r="E5">
        <v>4.3053435114503817E-2</v>
      </c>
    </row>
    <row r="6" spans="1:5" x14ac:dyDescent="0.3">
      <c r="A6" s="2" t="s">
        <v>11</v>
      </c>
      <c r="B6">
        <v>2016.7916666666667</v>
      </c>
      <c r="C6" t="s">
        <v>135</v>
      </c>
      <c r="D6" t="s">
        <v>10</v>
      </c>
      <c r="E6">
        <v>3.6685714285714287E-2</v>
      </c>
    </row>
    <row r="7" spans="1:5" x14ac:dyDescent="0.3">
      <c r="A7" s="2" t="s">
        <v>11</v>
      </c>
      <c r="B7">
        <v>2016.0416666666667</v>
      </c>
      <c r="C7" t="s">
        <v>134</v>
      </c>
      <c r="D7" t="s">
        <v>21</v>
      </c>
      <c r="E7">
        <v>4.9170731707317075E-2</v>
      </c>
    </row>
    <row r="8" spans="1:5" x14ac:dyDescent="0.3">
      <c r="A8" s="2" t="s">
        <v>11</v>
      </c>
      <c r="B8">
        <v>2025.625</v>
      </c>
      <c r="C8" t="s">
        <v>136</v>
      </c>
      <c r="D8" t="s">
        <v>31</v>
      </c>
      <c r="E8">
        <v>5.2784090909090914E-3</v>
      </c>
    </row>
    <row r="9" spans="1:5" x14ac:dyDescent="0.3">
      <c r="A9" s="2" t="s">
        <v>11</v>
      </c>
      <c r="B9">
        <v>2023.5416666666667</v>
      </c>
      <c r="C9" t="s">
        <v>126</v>
      </c>
      <c r="D9" t="s">
        <v>10</v>
      </c>
      <c r="E9">
        <v>1.0760737344437166E-2</v>
      </c>
    </row>
    <row r="10" spans="1:5" x14ac:dyDescent="0.3">
      <c r="A10" s="2" t="s">
        <v>11</v>
      </c>
      <c r="B10">
        <v>2005.125</v>
      </c>
      <c r="C10" t="s">
        <v>140</v>
      </c>
      <c r="D10" t="s">
        <v>10</v>
      </c>
      <c r="E10">
        <v>5.8700000000000002E-2</v>
      </c>
    </row>
    <row r="11" spans="1:5" x14ac:dyDescent="0.3">
      <c r="A11" s="2" t="s">
        <v>11</v>
      </c>
      <c r="B11">
        <v>2005.125</v>
      </c>
      <c r="C11" t="s">
        <v>126</v>
      </c>
      <c r="D11" t="s">
        <v>42</v>
      </c>
      <c r="E11">
        <v>4.7749510763209393E-2</v>
      </c>
    </row>
    <row r="12" spans="1:5" x14ac:dyDescent="0.3">
      <c r="A12" s="2" t="s">
        <v>11</v>
      </c>
      <c r="B12">
        <v>2015.7083333333333</v>
      </c>
      <c r="C12" t="s">
        <v>126</v>
      </c>
      <c r="D12" t="s">
        <v>10</v>
      </c>
      <c r="E12">
        <v>6.5170068027210884E-2</v>
      </c>
    </row>
    <row r="13" spans="1:5" x14ac:dyDescent="0.3">
      <c r="A13" s="2" t="s">
        <v>11</v>
      </c>
      <c r="B13">
        <v>2006.2916666666667</v>
      </c>
      <c r="C13" t="s">
        <v>126</v>
      </c>
      <c r="D13" t="s">
        <v>10</v>
      </c>
      <c r="E13">
        <v>8.8921282798833823E-2</v>
      </c>
    </row>
    <row r="14" spans="1:5" x14ac:dyDescent="0.3">
      <c r="A14" s="2" t="s">
        <v>11</v>
      </c>
      <c r="B14">
        <v>2017.2083333333333</v>
      </c>
      <c r="C14" t="s">
        <v>137</v>
      </c>
      <c r="D14" t="s">
        <v>10</v>
      </c>
      <c r="E14">
        <v>6.5217391304347831E-3</v>
      </c>
    </row>
    <row r="15" spans="1:5" x14ac:dyDescent="0.3">
      <c r="A15" s="2" t="s">
        <v>11</v>
      </c>
      <c r="B15">
        <v>2015.2083333333333</v>
      </c>
      <c r="C15" t="s">
        <v>137</v>
      </c>
      <c r="D15" t="s">
        <v>10</v>
      </c>
      <c r="E15">
        <v>6.4690026954177899E-3</v>
      </c>
    </row>
    <row r="16" spans="1:5" x14ac:dyDescent="0.3">
      <c r="A16" s="2" t="s">
        <v>11</v>
      </c>
      <c r="B16">
        <v>2025.2083333333333</v>
      </c>
      <c r="C16" t="s">
        <v>141</v>
      </c>
      <c r="D16" t="s">
        <v>10</v>
      </c>
      <c r="E16">
        <v>1.1200000000000001E-3</v>
      </c>
    </row>
    <row r="17" spans="1:5" x14ac:dyDescent="0.3">
      <c r="A17" s="2" t="s">
        <v>11</v>
      </c>
      <c r="B17">
        <v>2021.375</v>
      </c>
      <c r="C17" t="s">
        <v>139</v>
      </c>
      <c r="D17" t="s">
        <v>31</v>
      </c>
      <c r="E17">
        <v>8.3769633507853401E-4</v>
      </c>
    </row>
    <row r="18" spans="1:5" x14ac:dyDescent="0.3">
      <c r="A18" s="2" t="s">
        <v>11</v>
      </c>
      <c r="B18">
        <v>2023.0416666666667</v>
      </c>
      <c r="C18" t="s">
        <v>142</v>
      </c>
      <c r="D18" t="s">
        <v>10</v>
      </c>
      <c r="E18">
        <v>1.7037037037037035E-2</v>
      </c>
    </row>
    <row r="19" spans="1:5" x14ac:dyDescent="0.3">
      <c r="A19" s="2" t="s">
        <v>11</v>
      </c>
      <c r="B19">
        <v>2023.9583333333333</v>
      </c>
      <c r="C19" t="s">
        <v>143</v>
      </c>
      <c r="D19" t="s">
        <v>10</v>
      </c>
      <c r="E19">
        <v>0.35697674418604652</v>
      </c>
    </row>
    <row r="20" spans="1:5" x14ac:dyDescent="0.3">
      <c r="A20" s="2" t="s">
        <v>11</v>
      </c>
      <c r="B20">
        <v>2023.4583333333333</v>
      </c>
      <c r="C20" s="4" t="s">
        <v>142</v>
      </c>
      <c r="D20" t="s">
        <v>10</v>
      </c>
      <c r="E20">
        <v>4.1651597347799885E-3</v>
      </c>
    </row>
    <row r="21" spans="1:5" x14ac:dyDescent="0.3">
      <c r="A21" s="2" t="s">
        <v>11</v>
      </c>
      <c r="B21">
        <v>2017.125</v>
      </c>
      <c r="C21" t="s">
        <v>144</v>
      </c>
      <c r="D21" t="s">
        <v>31</v>
      </c>
      <c r="E21">
        <v>7.0000000000000001E-3</v>
      </c>
    </row>
    <row r="22" spans="1:5" x14ac:dyDescent="0.3">
      <c r="A22" s="2" t="s">
        <v>11</v>
      </c>
      <c r="B22">
        <v>2001.2916666666667</v>
      </c>
      <c r="C22" t="s">
        <v>12</v>
      </c>
      <c r="D22" t="s">
        <v>10</v>
      </c>
      <c r="E22">
        <v>5.5555555555555556E-4</v>
      </c>
    </row>
    <row r="23" spans="1:5" x14ac:dyDescent="0.3">
      <c r="A23" s="2" t="s">
        <v>11</v>
      </c>
      <c r="B23">
        <v>2025.5416666666667</v>
      </c>
      <c r="C23" t="s">
        <v>145</v>
      </c>
      <c r="D23" t="s">
        <v>31</v>
      </c>
      <c r="E23">
        <v>6.1818181818181821E-2</v>
      </c>
    </row>
    <row r="24" spans="1:5" x14ac:dyDescent="0.3">
      <c r="A24" s="2" t="s">
        <v>11</v>
      </c>
      <c r="B24">
        <v>2011.7916666666667</v>
      </c>
      <c r="C24" t="s">
        <v>73</v>
      </c>
      <c r="D24" t="s">
        <v>42</v>
      </c>
      <c r="E24">
        <v>1.1948051948051947E-2</v>
      </c>
    </row>
    <row r="25" spans="1:5" x14ac:dyDescent="0.3">
      <c r="A25" s="2" t="s">
        <v>11</v>
      </c>
      <c r="B25">
        <v>2011.7083333333333</v>
      </c>
      <c r="C25" t="s">
        <v>73</v>
      </c>
      <c r="D25" t="s">
        <v>31</v>
      </c>
      <c r="E25">
        <v>2.2352941176470586E-2</v>
      </c>
    </row>
    <row r="26" spans="1:5" x14ac:dyDescent="0.3">
      <c r="A26" s="2" t="s">
        <v>11</v>
      </c>
      <c r="B26">
        <v>2024.4583333333333</v>
      </c>
      <c r="C26" t="s">
        <v>12</v>
      </c>
      <c r="D26" t="s">
        <v>31</v>
      </c>
      <c r="E26">
        <v>0.21367441860465114</v>
      </c>
    </row>
    <row r="27" spans="1:5" x14ac:dyDescent="0.3">
      <c r="A27" s="2" t="s">
        <v>11</v>
      </c>
      <c r="B27">
        <v>2025.5416666666667</v>
      </c>
      <c r="C27" t="s">
        <v>140</v>
      </c>
      <c r="D27" t="s">
        <v>42</v>
      </c>
      <c r="E27">
        <v>3.6714975845410627E-2</v>
      </c>
    </row>
    <row r="28" spans="1:5" x14ac:dyDescent="0.3">
      <c r="A28" s="2" t="s">
        <v>11</v>
      </c>
      <c r="B28">
        <v>2025.5416666666667</v>
      </c>
      <c r="C28" t="s">
        <v>138</v>
      </c>
      <c r="D28" t="s">
        <v>42</v>
      </c>
      <c r="E28">
        <v>1.4647887323943662E-2</v>
      </c>
    </row>
    <row r="29" spans="1:5" x14ac:dyDescent="0.3">
      <c r="A29" s="2" t="s">
        <v>11</v>
      </c>
      <c r="B29">
        <v>2025.5416666666667</v>
      </c>
      <c r="C29" t="s">
        <v>88</v>
      </c>
      <c r="D29" t="s">
        <v>42</v>
      </c>
      <c r="E29">
        <v>1.6216216216216217E-2</v>
      </c>
    </row>
    <row r="30" spans="1:5" x14ac:dyDescent="0.3">
      <c r="A30" s="2" t="s">
        <v>11</v>
      </c>
      <c r="B30">
        <v>2022.9583333333333</v>
      </c>
      <c r="C30" t="s">
        <v>146</v>
      </c>
      <c r="D30" t="s">
        <v>42</v>
      </c>
      <c r="E30">
        <v>2.8997867803837955E-3</v>
      </c>
    </row>
    <row r="31" spans="1:5" x14ac:dyDescent="0.3">
      <c r="A31" s="2" t="s">
        <v>11</v>
      </c>
      <c r="B31">
        <v>2018.2083333333333</v>
      </c>
      <c r="C31" t="s">
        <v>140</v>
      </c>
      <c r="D31" t="s">
        <v>31</v>
      </c>
      <c r="E31">
        <v>8.8599999999999998E-2</v>
      </c>
    </row>
    <row r="32" spans="1:5" x14ac:dyDescent="0.3">
      <c r="A32" s="2" t="s">
        <v>11</v>
      </c>
      <c r="B32">
        <v>2012.7916666666667</v>
      </c>
      <c r="C32" t="s">
        <v>147</v>
      </c>
      <c r="D32" t="s">
        <v>10</v>
      </c>
      <c r="E32">
        <v>3.2563062268477685E-3</v>
      </c>
    </row>
    <row r="33" spans="1:5" x14ac:dyDescent="0.3">
      <c r="A33" s="2" t="s">
        <v>11</v>
      </c>
      <c r="B33">
        <v>2024.9583333333333</v>
      </c>
      <c r="C33" t="s">
        <v>12</v>
      </c>
      <c r="D33" t="s">
        <v>31</v>
      </c>
      <c r="E33">
        <v>1.6806722689075633E-2</v>
      </c>
    </row>
    <row r="34" spans="1:5" x14ac:dyDescent="0.3">
      <c r="A34" s="2" t="s">
        <v>11</v>
      </c>
      <c r="B34">
        <v>2024.125</v>
      </c>
      <c r="C34" t="s">
        <v>134</v>
      </c>
      <c r="D34" t="s">
        <v>31</v>
      </c>
      <c r="E34">
        <v>5.4491017964071853E-2</v>
      </c>
    </row>
    <row r="35" spans="1:5" ht="15.6" x14ac:dyDescent="0.3">
      <c r="A35" s="10" t="s">
        <v>122</v>
      </c>
      <c r="B35">
        <v>2010.875</v>
      </c>
      <c r="C35" t="s">
        <v>140</v>
      </c>
      <c r="D35" t="s">
        <v>31</v>
      </c>
      <c r="E35">
        <v>0.20731707317073167</v>
      </c>
    </row>
    <row r="36" spans="1:5" ht="15.6" x14ac:dyDescent="0.3">
      <c r="A36" s="10" t="s">
        <v>122</v>
      </c>
      <c r="B36">
        <v>2007.5416666666667</v>
      </c>
      <c r="C36" t="s">
        <v>140</v>
      </c>
      <c r="D36" t="s">
        <v>31</v>
      </c>
      <c r="E36">
        <v>6.4166666666666669E-3</v>
      </c>
    </row>
    <row r="37" spans="1:5" ht="15.6" x14ac:dyDescent="0.3">
      <c r="A37" s="10" t="s">
        <v>122</v>
      </c>
      <c r="B37">
        <v>1999.375</v>
      </c>
      <c r="C37" t="s">
        <v>126</v>
      </c>
      <c r="D37" t="s">
        <v>10</v>
      </c>
      <c r="E37">
        <v>0.10792</v>
      </c>
    </row>
    <row r="38" spans="1:5" ht="15.6" x14ac:dyDescent="0.3">
      <c r="A38" s="10" t="s">
        <v>122</v>
      </c>
      <c r="B38">
        <v>2012.9583333333333</v>
      </c>
      <c r="C38" t="s">
        <v>127</v>
      </c>
      <c r="D38" t="s">
        <v>31</v>
      </c>
      <c r="E38">
        <v>8.677621283255086E-3</v>
      </c>
    </row>
    <row r="39" spans="1:5" ht="15.6" x14ac:dyDescent="0.3">
      <c r="A39" s="10" t="s">
        <v>122</v>
      </c>
      <c r="B39">
        <v>2016.375</v>
      </c>
      <c r="C39" t="s">
        <v>129</v>
      </c>
      <c r="D39" t="s">
        <v>10</v>
      </c>
      <c r="E39">
        <v>1.2714E-2</v>
      </c>
    </row>
    <row r="40" spans="1:5" x14ac:dyDescent="0.3">
      <c r="A40" t="s">
        <v>0</v>
      </c>
      <c r="B40">
        <v>1996.5416666666667</v>
      </c>
      <c r="C40" t="s">
        <v>88</v>
      </c>
      <c r="D40" t="s">
        <v>10</v>
      </c>
      <c r="E40">
        <v>3.888888888888889E-2</v>
      </c>
    </row>
    <row r="41" spans="1:5" x14ac:dyDescent="0.3">
      <c r="A41" t="s">
        <v>0</v>
      </c>
      <c r="B41">
        <v>2002.4583333333333</v>
      </c>
      <c r="C41" t="s">
        <v>148</v>
      </c>
      <c r="D41" t="s">
        <v>10</v>
      </c>
      <c r="E41">
        <v>3.2000000000000003E-4</v>
      </c>
    </row>
    <row r="42" spans="1:5" x14ac:dyDescent="0.3">
      <c r="A42" t="s">
        <v>0</v>
      </c>
      <c r="B42">
        <v>2004.5416666666667</v>
      </c>
      <c r="C42" t="s">
        <v>149</v>
      </c>
      <c r="D42" t="s">
        <v>31</v>
      </c>
      <c r="E42">
        <v>3.6249999999999998E-3</v>
      </c>
    </row>
    <row r="43" spans="1:5" x14ac:dyDescent="0.3">
      <c r="A43" t="s">
        <v>35</v>
      </c>
      <c r="B43">
        <v>2022.2083333333333</v>
      </c>
      <c r="C43" s="4" t="s">
        <v>36</v>
      </c>
      <c r="D43" t="s">
        <v>31</v>
      </c>
      <c r="E43">
        <v>5.3E-3</v>
      </c>
    </row>
    <row r="44" spans="1:5" x14ac:dyDescent="0.3">
      <c r="A44" t="s">
        <v>35</v>
      </c>
      <c r="B44">
        <v>2018.875</v>
      </c>
      <c r="C44" t="s">
        <v>88</v>
      </c>
      <c r="D44" t="s">
        <v>31</v>
      </c>
      <c r="E44">
        <v>2.5380710659898477E-2</v>
      </c>
    </row>
    <row r="45" spans="1:5" x14ac:dyDescent="0.3">
      <c r="A45" t="s">
        <v>35</v>
      </c>
      <c r="B45">
        <v>2000.125</v>
      </c>
      <c r="C45" t="s">
        <v>12</v>
      </c>
      <c r="D45" t="s">
        <v>31</v>
      </c>
      <c r="E45">
        <v>2.3249999999999996E-2</v>
      </c>
    </row>
    <row r="46" spans="1:5" x14ac:dyDescent="0.3">
      <c r="A46" t="s">
        <v>35</v>
      </c>
      <c r="B46">
        <v>2013.9583333333333</v>
      </c>
      <c r="C46" t="s">
        <v>88</v>
      </c>
      <c r="D46" t="s">
        <v>31</v>
      </c>
      <c r="E46">
        <v>1.4E-2</v>
      </c>
    </row>
    <row r="47" spans="1:5" x14ac:dyDescent="0.3">
      <c r="A47" t="s">
        <v>35</v>
      </c>
      <c r="B47">
        <v>2012.9583333333333</v>
      </c>
      <c r="C47" s="4" t="s">
        <v>150</v>
      </c>
      <c r="D47" t="s">
        <v>31</v>
      </c>
      <c r="E47">
        <v>4.0000000000000001E-3</v>
      </c>
    </row>
    <row r="48" spans="1:5" x14ac:dyDescent="0.3">
      <c r="A48" t="s">
        <v>35</v>
      </c>
      <c r="B48">
        <v>2024.625</v>
      </c>
      <c r="C48" s="7" t="s">
        <v>93</v>
      </c>
      <c r="D48" t="s">
        <v>31</v>
      </c>
      <c r="E48">
        <v>4.0000000000000001E-3</v>
      </c>
    </row>
    <row r="49" spans="1:5" x14ac:dyDescent="0.3">
      <c r="A49" t="s">
        <v>35</v>
      </c>
      <c r="B49">
        <v>2016.4583333333333</v>
      </c>
      <c r="C49" t="s">
        <v>95</v>
      </c>
      <c r="D49" t="s">
        <v>31</v>
      </c>
      <c r="E49">
        <v>8.8130434782608691E-4</v>
      </c>
    </row>
    <row r="50" spans="1:5" x14ac:dyDescent="0.3">
      <c r="A50" t="s">
        <v>102</v>
      </c>
      <c r="B50">
        <v>2022.5416666666667</v>
      </c>
      <c r="C50" s="8" t="s">
        <v>151</v>
      </c>
      <c r="D50" t="s">
        <v>31</v>
      </c>
      <c r="E50">
        <v>9.9714285714285725E-4</v>
      </c>
    </row>
    <row r="51" spans="1:5" x14ac:dyDescent="0.3">
      <c r="A51" t="s">
        <v>105</v>
      </c>
      <c r="B51">
        <v>2013.625</v>
      </c>
      <c r="C51" t="s">
        <v>106</v>
      </c>
      <c r="D51" t="s">
        <v>31</v>
      </c>
      <c r="E51">
        <v>5.0980392156862748E-3</v>
      </c>
    </row>
    <row r="52" spans="1:5" x14ac:dyDescent="0.3">
      <c r="A52" t="s">
        <v>105</v>
      </c>
      <c r="B52">
        <v>2014.9583333333333</v>
      </c>
      <c r="C52" t="s">
        <v>134</v>
      </c>
      <c r="D52" t="s">
        <v>31</v>
      </c>
      <c r="E52">
        <v>1.1617647058823529E-2</v>
      </c>
    </row>
    <row r="53" spans="1:5" x14ac:dyDescent="0.3">
      <c r="A53" t="s">
        <v>105</v>
      </c>
      <c r="B53">
        <v>2004.9583333333333</v>
      </c>
      <c r="C53" t="s">
        <v>151</v>
      </c>
      <c r="D53" t="s">
        <v>31</v>
      </c>
      <c r="E53">
        <v>9.8039215686274526E-3</v>
      </c>
    </row>
    <row r="54" spans="1:5" x14ac:dyDescent="0.3">
      <c r="A54" t="s">
        <v>105</v>
      </c>
      <c r="B54">
        <v>1997.625</v>
      </c>
      <c r="C54" t="s">
        <v>152</v>
      </c>
      <c r="D54" t="s">
        <v>31</v>
      </c>
      <c r="E54">
        <v>1.2745098039215688E-2</v>
      </c>
    </row>
    <row r="55" spans="1:5" x14ac:dyDescent="0.3">
      <c r="A55" t="s">
        <v>108</v>
      </c>
      <c r="B55">
        <v>1991.7916666666667</v>
      </c>
      <c r="C55" t="s">
        <v>140</v>
      </c>
      <c r="D55" t="s">
        <v>31</v>
      </c>
      <c r="E55">
        <v>3.6999999999999998E-2</v>
      </c>
    </row>
    <row r="56" spans="1:5" x14ac:dyDescent="0.3">
      <c r="A56" t="s">
        <v>108</v>
      </c>
      <c r="B56">
        <v>1994.7916666666667</v>
      </c>
      <c r="C56" t="s">
        <v>140</v>
      </c>
      <c r="D56" t="s">
        <v>10</v>
      </c>
      <c r="E56">
        <v>1.7714285714285714E-3</v>
      </c>
    </row>
    <row r="57" spans="1:5" ht="15.6" x14ac:dyDescent="0.3">
      <c r="A57" s="10" t="s">
        <v>153</v>
      </c>
      <c r="B57">
        <v>2025.9583333333333</v>
      </c>
      <c r="C57" t="s">
        <v>154</v>
      </c>
      <c r="D57" t="s">
        <v>31</v>
      </c>
      <c r="E57">
        <v>3.1218102163407254E-2</v>
      </c>
    </row>
    <row r="63" spans="1:5" x14ac:dyDescent="0.3">
      <c r="A63" t="s">
        <v>131</v>
      </c>
    </row>
    <row r="71" spans="1:4" x14ac:dyDescent="0.3">
      <c r="A71" t="s">
        <v>108</v>
      </c>
      <c r="B71">
        <v>2024.2083333333333</v>
      </c>
      <c r="D71" t="s">
        <v>10</v>
      </c>
    </row>
    <row r="72" spans="1:4" x14ac:dyDescent="0.3">
      <c r="A72" s="9" t="s">
        <v>108</v>
      </c>
    </row>
    <row r="73" spans="1:4" x14ac:dyDescent="0.3">
      <c r="A73" s="2" t="s">
        <v>11</v>
      </c>
      <c r="D73" t="s">
        <v>10</v>
      </c>
    </row>
    <row r="74" spans="1:4" x14ac:dyDescent="0.3">
      <c r="A74" s="2" t="s">
        <v>11</v>
      </c>
    </row>
    <row r="75" spans="1:4" x14ac:dyDescent="0.3">
      <c r="A75" s="2" t="s">
        <v>11</v>
      </c>
      <c r="C75" s="4"/>
      <c r="D75" t="s">
        <v>31</v>
      </c>
    </row>
    <row r="76" spans="1:4" x14ac:dyDescent="0.3">
      <c r="A76" s="2" t="s">
        <v>11</v>
      </c>
      <c r="D76" t="s">
        <v>10</v>
      </c>
    </row>
    <row r="77" spans="1:4" x14ac:dyDescent="0.3">
      <c r="A77" t="s">
        <v>105</v>
      </c>
      <c r="B77">
        <v>1991.625</v>
      </c>
    </row>
    <row r="78" spans="1:4" x14ac:dyDescent="0.3">
      <c r="A78" t="s">
        <v>108</v>
      </c>
      <c r="B78">
        <v>1993.875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4178-8E67-4FCD-B693-00478AEEE8A0}">
  <dimension ref="A1:E57"/>
  <sheetViews>
    <sheetView showGridLines="0" workbookViewId="0">
      <selection sqref="A1:E57"/>
    </sheetView>
  </sheetViews>
  <sheetFormatPr defaultRowHeight="14.4" x14ac:dyDescent="0.3"/>
  <sheetData>
    <row r="1" spans="1:5" x14ac:dyDescent="0.3">
      <c r="A1" t="s">
        <v>1</v>
      </c>
      <c r="B1" t="s">
        <v>155</v>
      </c>
      <c r="C1" t="s">
        <v>2</v>
      </c>
      <c r="D1" t="s">
        <v>3</v>
      </c>
      <c r="E1" t="s">
        <v>156</v>
      </c>
    </row>
    <row r="2" spans="1:5" x14ac:dyDescent="0.3">
      <c r="A2" s="2" t="s">
        <v>11</v>
      </c>
      <c r="B2">
        <v>2012.7916666666667</v>
      </c>
      <c r="C2" s="4" t="s">
        <v>133</v>
      </c>
      <c r="D2" t="s">
        <v>21</v>
      </c>
      <c r="E2">
        <v>2.4161073825503358E-2</v>
      </c>
    </row>
    <row r="3" spans="1:5" x14ac:dyDescent="0.3">
      <c r="A3" s="2" t="s">
        <v>11</v>
      </c>
      <c r="B3">
        <v>2002.2083333333333</v>
      </c>
      <c r="C3" t="s">
        <v>134</v>
      </c>
      <c r="D3" t="s">
        <v>10</v>
      </c>
      <c r="E3">
        <v>9.4936708860759497E-3</v>
      </c>
    </row>
    <row r="4" spans="1:5" x14ac:dyDescent="0.3">
      <c r="A4" s="2" t="s">
        <v>11</v>
      </c>
      <c r="B4">
        <v>1999.2083333333333</v>
      </c>
      <c r="C4" t="s">
        <v>24</v>
      </c>
      <c r="D4" t="s">
        <v>10</v>
      </c>
      <c r="E4">
        <v>4.2999999999999997E-2</v>
      </c>
    </row>
    <row r="5" spans="1:5" x14ac:dyDescent="0.3">
      <c r="A5" s="2" t="s">
        <v>11</v>
      </c>
      <c r="B5">
        <v>2015.2916666666667</v>
      </c>
      <c r="C5" t="s">
        <v>134</v>
      </c>
      <c r="D5" t="s">
        <v>10</v>
      </c>
      <c r="E5">
        <v>4.3053435114503817E-2</v>
      </c>
    </row>
    <row r="6" spans="1:5" x14ac:dyDescent="0.3">
      <c r="A6" s="2" t="s">
        <v>11</v>
      </c>
      <c r="B6">
        <v>2016.7916666666667</v>
      </c>
      <c r="C6" t="s">
        <v>135</v>
      </c>
      <c r="D6" t="s">
        <v>10</v>
      </c>
      <c r="E6">
        <v>3.6685714285714287E-2</v>
      </c>
    </row>
    <row r="7" spans="1:5" x14ac:dyDescent="0.3">
      <c r="A7" s="2" t="s">
        <v>11</v>
      </c>
      <c r="B7">
        <v>2016.0416666666667</v>
      </c>
      <c r="C7" t="s">
        <v>134</v>
      </c>
      <c r="D7" t="s">
        <v>21</v>
      </c>
      <c r="E7">
        <v>4.9170731707317075E-2</v>
      </c>
    </row>
    <row r="8" spans="1:5" x14ac:dyDescent="0.3">
      <c r="A8" s="2" t="s">
        <v>11</v>
      </c>
      <c r="B8">
        <v>2025.625</v>
      </c>
      <c r="C8" t="s">
        <v>136</v>
      </c>
      <c r="D8" t="s">
        <v>31</v>
      </c>
      <c r="E8">
        <v>5.2784090909090914E-3</v>
      </c>
    </row>
    <row r="9" spans="1:5" x14ac:dyDescent="0.3">
      <c r="A9" s="2" t="s">
        <v>11</v>
      </c>
      <c r="B9">
        <v>2023.5416666666667</v>
      </c>
      <c r="C9" t="s">
        <v>126</v>
      </c>
      <c r="D9" t="s">
        <v>10</v>
      </c>
      <c r="E9">
        <v>1.0760737344437166E-2</v>
      </c>
    </row>
    <row r="10" spans="1:5" x14ac:dyDescent="0.3">
      <c r="A10" s="2" t="s">
        <v>11</v>
      </c>
      <c r="B10">
        <v>2005.125</v>
      </c>
      <c r="C10" t="s">
        <v>140</v>
      </c>
      <c r="D10" t="s">
        <v>10</v>
      </c>
      <c r="E10">
        <v>5.8700000000000002E-2</v>
      </c>
    </row>
    <row r="11" spans="1:5" x14ac:dyDescent="0.3">
      <c r="A11" s="2" t="s">
        <v>11</v>
      </c>
      <c r="B11">
        <v>2005.125</v>
      </c>
      <c r="C11" t="s">
        <v>126</v>
      </c>
      <c r="D11" t="s">
        <v>42</v>
      </c>
      <c r="E11">
        <v>4.7749510763209393E-2</v>
      </c>
    </row>
    <row r="12" spans="1:5" x14ac:dyDescent="0.3">
      <c r="A12" s="2" t="s">
        <v>11</v>
      </c>
      <c r="B12">
        <v>2015.7083333333333</v>
      </c>
      <c r="C12" t="s">
        <v>126</v>
      </c>
      <c r="D12" t="s">
        <v>10</v>
      </c>
      <c r="E12">
        <v>6.5170068027210884E-2</v>
      </c>
    </row>
    <row r="13" spans="1:5" x14ac:dyDescent="0.3">
      <c r="A13" s="2" t="s">
        <v>11</v>
      </c>
      <c r="B13">
        <v>2006.2916666666667</v>
      </c>
      <c r="C13" t="s">
        <v>126</v>
      </c>
      <c r="D13" t="s">
        <v>10</v>
      </c>
      <c r="E13">
        <v>8.8921282798833823E-2</v>
      </c>
    </row>
    <row r="14" spans="1:5" x14ac:dyDescent="0.3">
      <c r="A14" s="2" t="s">
        <v>11</v>
      </c>
      <c r="B14">
        <v>2017.2083333333333</v>
      </c>
      <c r="C14" t="s">
        <v>137</v>
      </c>
      <c r="D14" t="s">
        <v>10</v>
      </c>
      <c r="E14">
        <v>6.5217391304347831E-3</v>
      </c>
    </row>
    <row r="15" spans="1:5" x14ac:dyDescent="0.3">
      <c r="A15" s="2" t="s">
        <v>11</v>
      </c>
      <c r="B15">
        <v>2015.2083333333333</v>
      </c>
      <c r="C15" t="s">
        <v>137</v>
      </c>
      <c r="D15" t="s">
        <v>10</v>
      </c>
      <c r="E15">
        <v>6.4690026954177899E-3</v>
      </c>
    </row>
    <row r="16" spans="1:5" x14ac:dyDescent="0.3">
      <c r="A16" s="2" t="s">
        <v>11</v>
      </c>
      <c r="B16">
        <v>2025.2083333333333</v>
      </c>
      <c r="C16" t="s">
        <v>141</v>
      </c>
      <c r="D16" t="s">
        <v>10</v>
      </c>
      <c r="E16">
        <v>1.1200000000000001E-3</v>
      </c>
    </row>
    <row r="17" spans="1:5" x14ac:dyDescent="0.3">
      <c r="A17" s="2" t="s">
        <v>11</v>
      </c>
      <c r="B17">
        <v>2021.375</v>
      </c>
      <c r="C17" t="s">
        <v>139</v>
      </c>
      <c r="D17" t="s">
        <v>31</v>
      </c>
      <c r="E17">
        <v>8.3769633507853401E-4</v>
      </c>
    </row>
    <row r="18" spans="1:5" x14ac:dyDescent="0.3">
      <c r="A18" s="2" t="s">
        <v>11</v>
      </c>
      <c r="B18">
        <v>2023.0416666666667</v>
      </c>
      <c r="C18" t="s">
        <v>142</v>
      </c>
      <c r="D18" t="s">
        <v>10</v>
      </c>
      <c r="E18">
        <v>1.7037037037037035E-2</v>
      </c>
    </row>
    <row r="19" spans="1:5" x14ac:dyDescent="0.3">
      <c r="A19" s="2" t="s">
        <v>11</v>
      </c>
      <c r="B19">
        <v>2023.9583333333333</v>
      </c>
      <c r="C19" t="s">
        <v>143</v>
      </c>
      <c r="D19" t="s">
        <v>10</v>
      </c>
      <c r="E19">
        <v>0.35697674418604652</v>
      </c>
    </row>
    <row r="20" spans="1:5" x14ac:dyDescent="0.3">
      <c r="A20" s="2" t="s">
        <v>11</v>
      </c>
      <c r="B20">
        <v>2023.4583333333333</v>
      </c>
      <c r="C20" s="4" t="s">
        <v>142</v>
      </c>
      <c r="D20" t="s">
        <v>10</v>
      </c>
      <c r="E20">
        <v>4.1651597347799885E-3</v>
      </c>
    </row>
    <row r="21" spans="1:5" x14ac:dyDescent="0.3">
      <c r="A21" s="2" t="s">
        <v>11</v>
      </c>
      <c r="B21">
        <v>2017.125</v>
      </c>
      <c r="C21" t="s">
        <v>144</v>
      </c>
      <c r="D21" t="s">
        <v>31</v>
      </c>
      <c r="E21">
        <v>7.0000000000000001E-3</v>
      </c>
    </row>
    <row r="22" spans="1:5" x14ac:dyDescent="0.3">
      <c r="A22" s="2" t="s">
        <v>11</v>
      </c>
      <c r="B22">
        <v>2001.2916666666667</v>
      </c>
      <c r="C22" t="s">
        <v>12</v>
      </c>
      <c r="D22" t="s">
        <v>10</v>
      </c>
      <c r="E22">
        <v>5.5555555555555556E-4</v>
      </c>
    </row>
    <row r="23" spans="1:5" x14ac:dyDescent="0.3">
      <c r="A23" s="2" t="s">
        <v>11</v>
      </c>
      <c r="B23">
        <v>2025.5416666666667</v>
      </c>
      <c r="C23" t="s">
        <v>145</v>
      </c>
      <c r="D23" t="s">
        <v>31</v>
      </c>
      <c r="E23">
        <v>6.1818181818181821E-2</v>
      </c>
    </row>
    <row r="24" spans="1:5" x14ac:dyDescent="0.3">
      <c r="A24" s="2" t="s">
        <v>11</v>
      </c>
      <c r="B24">
        <v>2011.7916666666667</v>
      </c>
      <c r="C24" t="s">
        <v>73</v>
      </c>
      <c r="D24" t="s">
        <v>42</v>
      </c>
      <c r="E24">
        <v>1.1948051948051947E-2</v>
      </c>
    </row>
    <row r="25" spans="1:5" x14ac:dyDescent="0.3">
      <c r="A25" s="2" t="s">
        <v>11</v>
      </c>
      <c r="B25">
        <v>2011.7083333333333</v>
      </c>
      <c r="C25" t="s">
        <v>73</v>
      </c>
      <c r="D25" t="s">
        <v>31</v>
      </c>
      <c r="E25">
        <v>2.2352941176470586E-2</v>
      </c>
    </row>
    <row r="26" spans="1:5" x14ac:dyDescent="0.3">
      <c r="A26" s="2" t="s">
        <v>11</v>
      </c>
      <c r="B26">
        <v>2024.4583333333333</v>
      </c>
      <c r="C26" t="s">
        <v>12</v>
      </c>
      <c r="D26" t="s">
        <v>31</v>
      </c>
      <c r="E26">
        <v>0.21367441860465114</v>
      </c>
    </row>
    <row r="27" spans="1:5" x14ac:dyDescent="0.3">
      <c r="A27" s="2" t="s">
        <v>11</v>
      </c>
      <c r="B27">
        <v>2025.5416666666667</v>
      </c>
      <c r="C27" t="s">
        <v>140</v>
      </c>
      <c r="D27" t="s">
        <v>42</v>
      </c>
      <c r="E27">
        <v>3.6714975845410627E-2</v>
      </c>
    </row>
    <row r="28" spans="1:5" x14ac:dyDescent="0.3">
      <c r="A28" s="2" t="s">
        <v>11</v>
      </c>
      <c r="B28">
        <v>2025.5416666666667</v>
      </c>
      <c r="C28" t="s">
        <v>138</v>
      </c>
      <c r="D28" t="s">
        <v>42</v>
      </c>
      <c r="E28">
        <v>1.4647887323943662E-2</v>
      </c>
    </row>
    <row r="29" spans="1:5" x14ac:dyDescent="0.3">
      <c r="A29" s="2" t="s">
        <v>11</v>
      </c>
      <c r="B29">
        <v>2025.5416666666667</v>
      </c>
      <c r="C29" t="s">
        <v>88</v>
      </c>
      <c r="D29" t="s">
        <v>42</v>
      </c>
      <c r="E29">
        <v>1.6216216216216217E-2</v>
      </c>
    </row>
    <row r="30" spans="1:5" x14ac:dyDescent="0.3">
      <c r="A30" s="2" t="s">
        <v>11</v>
      </c>
      <c r="B30">
        <v>2022.9583333333333</v>
      </c>
      <c r="C30" t="s">
        <v>146</v>
      </c>
      <c r="D30" t="s">
        <v>42</v>
      </c>
      <c r="E30">
        <v>2.8997867803837955E-3</v>
      </c>
    </row>
    <row r="31" spans="1:5" x14ac:dyDescent="0.3">
      <c r="A31" s="2" t="s">
        <v>11</v>
      </c>
      <c r="B31">
        <v>2018.2083333333333</v>
      </c>
      <c r="C31" t="s">
        <v>140</v>
      </c>
      <c r="D31" t="s">
        <v>31</v>
      </c>
      <c r="E31">
        <v>8.8599999999999998E-2</v>
      </c>
    </row>
    <row r="32" spans="1:5" x14ac:dyDescent="0.3">
      <c r="A32" s="2" t="s">
        <v>11</v>
      </c>
      <c r="B32">
        <v>2012.7916666666667</v>
      </c>
      <c r="C32" t="s">
        <v>147</v>
      </c>
      <c r="D32" t="s">
        <v>10</v>
      </c>
      <c r="E32">
        <v>3.2563062268477685E-3</v>
      </c>
    </row>
    <row r="33" spans="1:5" x14ac:dyDescent="0.3">
      <c r="A33" s="2" t="s">
        <v>11</v>
      </c>
      <c r="B33">
        <v>2024.9583333333333</v>
      </c>
      <c r="C33" t="s">
        <v>12</v>
      </c>
      <c r="D33" t="s">
        <v>31</v>
      </c>
      <c r="E33">
        <v>1.6806722689075633E-2</v>
      </c>
    </row>
    <row r="34" spans="1:5" x14ac:dyDescent="0.3">
      <c r="A34" s="2" t="s">
        <v>11</v>
      </c>
      <c r="B34">
        <v>2024.125</v>
      </c>
      <c r="C34" t="s">
        <v>134</v>
      </c>
      <c r="D34" t="s">
        <v>31</v>
      </c>
      <c r="E34">
        <v>5.4491017964071853E-2</v>
      </c>
    </row>
    <row r="35" spans="1:5" ht="15.6" x14ac:dyDescent="0.3">
      <c r="A35" s="10" t="s">
        <v>122</v>
      </c>
      <c r="B35">
        <v>2010.875</v>
      </c>
      <c r="C35" t="s">
        <v>140</v>
      </c>
      <c r="D35" t="s">
        <v>31</v>
      </c>
      <c r="E35">
        <v>0.20731707317073167</v>
      </c>
    </row>
    <row r="36" spans="1:5" ht="15.6" x14ac:dyDescent="0.3">
      <c r="A36" s="10" t="s">
        <v>122</v>
      </c>
      <c r="B36">
        <v>2007.5416666666667</v>
      </c>
      <c r="C36" t="s">
        <v>140</v>
      </c>
      <c r="D36" t="s">
        <v>31</v>
      </c>
      <c r="E36">
        <v>6.4166666666666669E-3</v>
      </c>
    </row>
    <row r="37" spans="1:5" ht="15.6" x14ac:dyDescent="0.3">
      <c r="A37" s="10" t="s">
        <v>122</v>
      </c>
      <c r="B37">
        <v>1999.375</v>
      </c>
      <c r="C37" t="s">
        <v>126</v>
      </c>
      <c r="D37" t="s">
        <v>10</v>
      </c>
      <c r="E37">
        <v>0.10792</v>
      </c>
    </row>
    <row r="38" spans="1:5" ht="15.6" x14ac:dyDescent="0.3">
      <c r="A38" s="10" t="s">
        <v>122</v>
      </c>
      <c r="B38">
        <v>2012.9583333333333</v>
      </c>
      <c r="C38" t="s">
        <v>127</v>
      </c>
      <c r="D38" t="s">
        <v>31</v>
      </c>
      <c r="E38">
        <v>8.677621283255086E-3</v>
      </c>
    </row>
    <row r="39" spans="1:5" ht="15.6" x14ac:dyDescent="0.3">
      <c r="A39" s="10" t="s">
        <v>122</v>
      </c>
      <c r="B39">
        <v>2016.375</v>
      </c>
      <c r="C39" t="s">
        <v>129</v>
      </c>
      <c r="D39" t="s">
        <v>10</v>
      </c>
      <c r="E39">
        <v>1.2714E-2</v>
      </c>
    </row>
    <row r="40" spans="1:5" x14ac:dyDescent="0.3">
      <c r="A40" t="s">
        <v>0</v>
      </c>
      <c r="B40">
        <v>1996.5416666666667</v>
      </c>
      <c r="C40" t="s">
        <v>88</v>
      </c>
      <c r="D40" t="s">
        <v>10</v>
      </c>
      <c r="E40">
        <v>3.888888888888889E-2</v>
      </c>
    </row>
    <row r="41" spans="1:5" x14ac:dyDescent="0.3">
      <c r="A41" t="s">
        <v>0</v>
      </c>
      <c r="B41">
        <v>2002.4583333333333</v>
      </c>
      <c r="C41" t="s">
        <v>148</v>
      </c>
      <c r="D41" t="s">
        <v>10</v>
      </c>
      <c r="E41">
        <v>3.2000000000000003E-4</v>
      </c>
    </row>
    <row r="42" spans="1:5" x14ac:dyDescent="0.3">
      <c r="A42" t="s">
        <v>0</v>
      </c>
      <c r="B42">
        <v>2004.5416666666667</v>
      </c>
      <c r="C42" t="s">
        <v>149</v>
      </c>
      <c r="D42" t="s">
        <v>31</v>
      </c>
      <c r="E42">
        <v>3.6249999999999998E-3</v>
      </c>
    </row>
    <row r="43" spans="1:5" x14ac:dyDescent="0.3">
      <c r="A43" t="s">
        <v>35</v>
      </c>
      <c r="B43">
        <v>2022.2083333333333</v>
      </c>
      <c r="C43" s="4" t="s">
        <v>36</v>
      </c>
      <c r="D43" t="s">
        <v>31</v>
      </c>
      <c r="E43">
        <v>5.3E-3</v>
      </c>
    </row>
    <row r="44" spans="1:5" x14ac:dyDescent="0.3">
      <c r="A44" t="s">
        <v>35</v>
      </c>
      <c r="B44">
        <v>2018.875</v>
      </c>
      <c r="C44" t="s">
        <v>88</v>
      </c>
      <c r="D44" t="s">
        <v>31</v>
      </c>
      <c r="E44">
        <v>2.5380710659898477E-2</v>
      </c>
    </row>
    <row r="45" spans="1:5" x14ac:dyDescent="0.3">
      <c r="A45" t="s">
        <v>35</v>
      </c>
      <c r="B45">
        <v>2000.125</v>
      </c>
      <c r="C45" t="s">
        <v>12</v>
      </c>
      <c r="D45" t="s">
        <v>31</v>
      </c>
      <c r="E45">
        <v>2.3249999999999996E-2</v>
      </c>
    </row>
    <row r="46" spans="1:5" x14ac:dyDescent="0.3">
      <c r="A46" t="s">
        <v>35</v>
      </c>
      <c r="B46">
        <v>2013.9583333333333</v>
      </c>
      <c r="C46" t="s">
        <v>88</v>
      </c>
      <c r="D46" t="s">
        <v>31</v>
      </c>
      <c r="E46">
        <v>1.4E-2</v>
      </c>
    </row>
    <row r="47" spans="1:5" x14ac:dyDescent="0.3">
      <c r="A47" t="s">
        <v>35</v>
      </c>
      <c r="B47">
        <v>2012.9583333333333</v>
      </c>
      <c r="C47" s="4" t="s">
        <v>150</v>
      </c>
      <c r="D47" t="s">
        <v>31</v>
      </c>
      <c r="E47">
        <v>4.0000000000000001E-3</v>
      </c>
    </row>
    <row r="48" spans="1:5" x14ac:dyDescent="0.3">
      <c r="A48" t="s">
        <v>35</v>
      </c>
      <c r="B48">
        <v>2024.625</v>
      </c>
      <c r="C48" s="7" t="s">
        <v>93</v>
      </c>
      <c r="D48" t="s">
        <v>31</v>
      </c>
      <c r="E48">
        <v>4.0000000000000001E-3</v>
      </c>
    </row>
    <row r="49" spans="1:5" x14ac:dyDescent="0.3">
      <c r="A49" t="s">
        <v>35</v>
      </c>
      <c r="B49">
        <v>2016.4583333333333</v>
      </c>
      <c r="C49" t="s">
        <v>95</v>
      </c>
      <c r="D49" t="s">
        <v>31</v>
      </c>
      <c r="E49">
        <v>8.8130434782608691E-4</v>
      </c>
    </row>
    <row r="50" spans="1:5" x14ac:dyDescent="0.3">
      <c r="A50" t="s">
        <v>102</v>
      </c>
      <c r="B50">
        <v>2022.5416666666667</v>
      </c>
      <c r="C50" s="8" t="s">
        <v>151</v>
      </c>
      <c r="D50" t="s">
        <v>31</v>
      </c>
      <c r="E50">
        <v>9.9714285714285725E-4</v>
      </c>
    </row>
    <row r="51" spans="1:5" x14ac:dyDescent="0.3">
      <c r="A51" t="s">
        <v>105</v>
      </c>
      <c r="B51">
        <v>2013.625</v>
      </c>
      <c r="C51" t="s">
        <v>106</v>
      </c>
      <c r="D51" t="s">
        <v>31</v>
      </c>
      <c r="E51">
        <v>5.0980392156862748E-3</v>
      </c>
    </row>
    <row r="52" spans="1:5" x14ac:dyDescent="0.3">
      <c r="A52" t="s">
        <v>105</v>
      </c>
      <c r="B52">
        <v>2014.9583333333333</v>
      </c>
      <c r="C52" t="s">
        <v>134</v>
      </c>
      <c r="D52" t="s">
        <v>31</v>
      </c>
      <c r="E52">
        <v>1.1617647058823529E-2</v>
      </c>
    </row>
    <row r="53" spans="1:5" x14ac:dyDescent="0.3">
      <c r="A53" t="s">
        <v>105</v>
      </c>
      <c r="B53">
        <v>2004.9583333333333</v>
      </c>
      <c r="C53" t="s">
        <v>151</v>
      </c>
      <c r="D53" t="s">
        <v>31</v>
      </c>
      <c r="E53">
        <v>9.8039215686274526E-3</v>
      </c>
    </row>
    <row r="54" spans="1:5" x14ac:dyDescent="0.3">
      <c r="A54" t="s">
        <v>105</v>
      </c>
      <c r="B54">
        <v>1997.625</v>
      </c>
      <c r="C54" t="s">
        <v>152</v>
      </c>
      <c r="D54" t="s">
        <v>31</v>
      </c>
      <c r="E54">
        <v>1.2745098039215688E-2</v>
      </c>
    </row>
    <row r="55" spans="1:5" x14ac:dyDescent="0.3">
      <c r="A55" t="s">
        <v>108</v>
      </c>
      <c r="B55">
        <v>1991.7916666666667</v>
      </c>
      <c r="C55" t="s">
        <v>140</v>
      </c>
      <c r="D55" t="s">
        <v>31</v>
      </c>
      <c r="E55">
        <v>3.6999999999999998E-2</v>
      </c>
    </row>
    <row r="56" spans="1:5" x14ac:dyDescent="0.3">
      <c r="A56" t="s">
        <v>108</v>
      </c>
      <c r="B56">
        <v>1994.7916666666667</v>
      </c>
      <c r="C56" t="s">
        <v>140</v>
      </c>
      <c r="D56" t="s">
        <v>10</v>
      </c>
      <c r="E56">
        <v>1.7714285714285714E-3</v>
      </c>
    </row>
    <row r="57" spans="1:5" ht="15.6" x14ac:dyDescent="0.3">
      <c r="A57" s="10" t="s">
        <v>153</v>
      </c>
      <c r="B57">
        <v>2025.9583333333333</v>
      </c>
      <c r="C57" t="s">
        <v>154</v>
      </c>
      <c r="D57" t="s">
        <v>31</v>
      </c>
      <c r="E57">
        <v>3.1218102163407254E-2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titre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Bingyin Peng</dc:creator>
  <cp:lastModifiedBy>B Peng</cp:lastModifiedBy>
  <dcterms:created xsi:type="dcterms:W3CDTF">2015-06-05T18:17:20Z</dcterms:created>
  <dcterms:modified xsi:type="dcterms:W3CDTF">2026-05-02T06:52:46Z</dcterms:modified>
</cp:coreProperties>
</file>